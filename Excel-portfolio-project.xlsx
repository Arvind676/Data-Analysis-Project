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hidePivotFieldList="1"/>
  <mc:AlternateContent xmlns:mc="http://schemas.openxmlformats.org/markup-compatibility/2006">
    <mc:Choice Requires="x15">
      <x15ac:absPath xmlns:x15ac="http://schemas.microsoft.com/office/spreadsheetml/2010/11/ac" url="F:\Business Analyst\"/>
    </mc:Choice>
  </mc:AlternateContent>
  <xr:revisionPtr revIDLastSave="0" documentId="8_{8AFD2A09-0E83-4E73-BE11-293325D49C2C}" xr6:coauthVersionLast="47" xr6:coauthVersionMax="47" xr10:uidLastSave="{00000000-0000-0000-0000-000000000000}"/>
  <bookViews>
    <workbookView xWindow="-108" yWindow="-108" windowWidth="23256" windowHeight="12456" activeTab="1" xr2:uid="{26D4546B-D2A1-4444-8EAF-A6228F96F0C1}"/>
  </bookViews>
  <sheets>
    <sheet name="Pivots" sheetId="5" r:id="rId1"/>
    <sheet name="Customer Report" sheetId="6" r:id="rId2"/>
    <sheet name="Data" sheetId="2" r:id="rId3"/>
    <sheet name="Assets" sheetId="4" r:id="rId4"/>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535" r:id="rId5"/>
    <pivotCache cacheId="554" r:id="rId6"/>
    <pivotCache cacheId="557" r:id="rId7"/>
    <pivotCache cacheId="560" r:id="rId8"/>
    <pivotCache cacheId="563" r:id="rId9"/>
    <pivotCache cacheId="566" r:id="rId10"/>
    <pivotCache cacheId="569" r:id="rId11"/>
    <pivotCache cacheId="572" r:id="rId12"/>
    <pivotCache cacheId="575" r:id="rId13"/>
  </pivotCaches>
  <extLst>
    <ext xmlns:x14="http://schemas.microsoft.com/office/spreadsheetml/2009/9/main" uri="{876F7934-8845-4945-9796-88D515C7AA90}">
      <x14:pivotCaches>
        <pivotCache cacheId="538"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07.sample-data-excel-portfolio-project.xlsx!calls"/>
          <x15:modelTable id="customers" name="customers" connection="WorksheetConnection_07.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9" i="6" l="1"/>
  <c r="Q39" i="6" a="1"/>
  <c r="Q39" i="6" s="1"/>
  <c r="Q22" i="6" a="1"/>
  <c r="Q22" i="6" s="1"/>
  <c r="P22" i="6"/>
  <c r="P23" i="6"/>
  <c r="Q23" i="6"/>
  <c r="R23" i="6"/>
  <c r="S23" i="6"/>
  <c r="T23" i="6"/>
  <c r="U23" i="6"/>
  <c r="V23" i="6"/>
  <c r="P24" i="6"/>
  <c r="Q24" i="6"/>
  <c r="R24" i="6"/>
  <c r="S24" i="6"/>
  <c r="T24" i="6"/>
  <c r="U24" i="6"/>
  <c r="V24" i="6"/>
  <c r="P25" i="6"/>
  <c r="Q25" i="6"/>
  <c r="R25" i="6"/>
  <c r="S25" i="6"/>
  <c r="T25" i="6"/>
  <c r="U25" i="6"/>
  <c r="V25" i="6"/>
  <c r="P26" i="6"/>
  <c r="Q26" i="6"/>
  <c r="R26" i="6"/>
  <c r="S26" i="6"/>
  <c r="T26" i="6"/>
  <c r="U26" i="6"/>
  <c r="V26" i="6"/>
  <c r="P27" i="6"/>
  <c r="P28" i="6"/>
  <c r="Q28" i="6"/>
  <c r="R28" i="6"/>
  <c r="S28" i="6"/>
  <c r="T28" i="6"/>
  <c r="U28" i="6"/>
  <c r="V28" i="6"/>
  <c r="P29" i="6"/>
  <c r="Q29" i="6"/>
  <c r="R29" i="6"/>
  <c r="S29" i="6"/>
  <c r="T29" i="6"/>
  <c r="U29" i="6"/>
  <c r="V29" i="6"/>
  <c r="P30" i="6"/>
  <c r="Q30" i="6"/>
  <c r="R30" i="6"/>
  <c r="S30" i="6"/>
  <c r="T30" i="6"/>
  <c r="U30" i="6"/>
  <c r="V30" i="6"/>
  <c r="P31" i="6"/>
  <c r="Q31" i="6"/>
  <c r="R31" i="6"/>
  <c r="S31" i="6"/>
  <c r="T31" i="6"/>
  <c r="U31" i="6"/>
  <c r="V31" i="6"/>
  <c r="P32" i="6"/>
  <c r="Q32" i="6"/>
  <c r="R32" i="6"/>
  <c r="S32" i="6"/>
  <c r="T32" i="6"/>
  <c r="U32" i="6"/>
  <c r="V32" i="6"/>
  <c r="P33" i="6"/>
  <c r="Q33" i="6"/>
  <c r="R33" i="6"/>
  <c r="S33" i="6"/>
  <c r="T33" i="6"/>
  <c r="U33" i="6"/>
  <c r="V33" i="6"/>
  <c r="P34" i="6"/>
  <c r="P35" i="6"/>
  <c r="Q35" i="6"/>
  <c r="R35" i="6"/>
  <c r="S35" i="6"/>
  <c r="T35" i="6"/>
  <c r="U35" i="6"/>
  <c r="V35" i="6"/>
  <c r="P36" i="6"/>
  <c r="Q36" i="6"/>
  <c r="R36" i="6"/>
  <c r="S36" i="6"/>
  <c r="T36" i="6"/>
  <c r="U36" i="6"/>
  <c r="V36" i="6"/>
  <c r="P37" i="6"/>
  <c r="Q37" i="6"/>
  <c r="R37" i="6"/>
  <c r="S37" i="6"/>
  <c r="T37" i="6"/>
  <c r="U37" i="6"/>
  <c r="V37" i="6"/>
  <c r="P38" i="6"/>
  <c r="Q38" i="6"/>
  <c r="R38" i="6"/>
  <c r="S38" i="6"/>
  <c r="T38" i="6"/>
  <c r="U38" i="6"/>
  <c r="V38" i="6"/>
  <c r="J35" i="5"/>
  <c r="I39"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3" i="5" l="1"/>
  <c r="J39" i="5"/>
  <c r="J43" i="5"/>
  <c r="J42" i="5"/>
  <c r="I42" i="5"/>
  <c r="I41" i="5"/>
  <c r="I40" i="5"/>
  <c r="J41" i="5"/>
  <c r="J4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D8CA5C5-DA66-4E89-8620-0B3FA5F7B1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967D66A-2D96-4580-AD0C-9C2664F00C4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AD1C9E13-8555-4450-BD78-25E07FEF7791}"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<sst xmlns="http://schemas.openxmlformats.org/spreadsheetml/2006/main" count="3172" uniqueCount="1079">
  <si>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</si>
  <si>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</si>
  <si>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</si>
  <si>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</si>
  <si>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</si>
  <si>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</si>
  <si>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</si>
  <si>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</si>
  <si>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</si>
  <si>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</si>
  <si>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</si>
  <si>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</si>
  <si>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</si>
  <si>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</si>
  <si>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</si>
  <si>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</si>
  <si>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</si>
  <si>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</si>
  <si>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</si>
  <si>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</si>
  <si>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</si>
  <si>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</si>
  <si>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</si>
  <si>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</si>
  <si>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</si>
  <si>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</si>
  <si>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</si>
  <si>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</si>
  <si>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</si>
  <si>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</si>
  <si>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</si>
  <si>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</si>
  <si>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</si>
  <si>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</si>
  <si>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</si>
  <si>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</si>
  <si>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</si>
  <si>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</si>
  <si>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</si>
  <si>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</si>
  <si>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</si>
  <si>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</si>
  <si>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</si>
  <si>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</si>
  <si>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</si>
  <si>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</si>
  <si>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</si>
  <si>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</si>
  <si>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</si>
  <si>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</si>
  <si>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</si>
  <si>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</si>
  <si>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</si>
  <si>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</si>
  <si>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</si>
  <si>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</si>
  <si>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</si>
  <si>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</si>
  <si>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</si>
  <si>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</si>
  <si>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</si>
  <si>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</si>
  <si>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</si>
  <si>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</si>
  <si>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</si>
  <si>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</si>
  <si>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</si>
  <si>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</si>
  <si>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</si>
  <si>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</si>
  <si>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</si>
  <si>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</si>
  <si>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</si>
  <si>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</si>
  <si>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</si>
  <si>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</si>
  <si>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</si>
  <si>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</si>
  <si>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</si>
  <si>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</si>
  <si>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</si>
  <si>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</si>
  <si>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</si>
  <si>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</si>
  <si>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</si>
  <si>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</si>
  <si>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</si>
  <si>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</si>
  <si>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</si>
  <si>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</si>
  <si>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</si>
  <si>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</si>
  <si>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</si>
  <si>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</si>
  <si>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</si>
  <si>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</si>
  <si>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</si>
  <si>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</si>
  <si>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</si>
  <si>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</si>
  <si>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</si>
  <si>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</si>
  <si>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</si>
  <si>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</si>
  <si>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</si>
  <si>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</si>
  <si>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</si>
  <si>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</si>
  <si>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</si>
  <si>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</si>
  <si>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</si>
  <si>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</si>
  <si>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</si>
  <si>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</si>
  <si>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</si>
  <si>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</si>
  <si>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</si>
  <si>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</si>
  <si>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</si>
  <si>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</si>
  <si>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</si>
  <si>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</si>
  <si>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</si>
  <si>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</si>
  <si>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</si>
  <si>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</si>
  <si>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</si>
  <si>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</si>
  <si>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</si>
  <si>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</si>
  <si>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</si>
  <si>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</si>
  <si>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</si>
  <si>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</si>
  <si>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</si>
  <si>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</si>
  <si>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</si>
  <si>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</si>
  <si>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</si>
  <si>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</si>
  <si>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</si>
  <si>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</si>
  <si>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</si>
  <si>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</si>
  <si>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</si>
  <si>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</si>
  <si>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</si>
  <si>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</si>
  <si>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</si>
  <si>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</si>
  <si>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</si>
  <si>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</si>
  <si>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</si>
  <si>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</si>
  <si>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</si>
  <si>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</si>
  <si>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</si>
  <si>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</si>
  <si>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</si>
  <si>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</si>
  <si>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</si>
  <si>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</si>
  <si>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</si>
  <si>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</si>
  <si>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</si>
  <si>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</si>
  <si>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</si>
  <si>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</si>
  <si>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</si>
  <si>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</si>
  <si>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</si>
  <si>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</si>
  <si>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</si>
  <si>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</si>
  <si>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</si>
  <si>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</si>
  <si>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</si>
  <si>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</si>
  <si>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</si>
  <si>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</si>
  <si>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</si>
  <si>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</si>
  <si>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</si>
  <si>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</si>
  <si>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</si>
  <si>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</si>
  <si>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</si>
  <si>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</si>
  <si>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</si>
  <si>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</si>
  <si>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</si>
  <si>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</si>
  <si>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</si>
  <si>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</si>
  <si>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</si>
  <si>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</si>
  <si>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</si>
  <si>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</si>
  <si>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</si>
  <si>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</si>
  <si>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</si>
  <si>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</si>
  <si>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</si>
  <si>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</si>
  <si>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</si>
  <si>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</si>
  <si>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</si>
  <si>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</si>
  <si>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</si>
  <si>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</si>
  <si>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</si>
  <si>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</si>
  <si>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</si>
  <si>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</si>
  <si>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</si>
  <si>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</si>
  <si>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</si>
  <si>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</si>
  <si>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</si>
  <si>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</si>
  <si>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</si>
  <si>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</si>
  <si>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</si>
  <si>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</si>
  <si>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</si>
  <si>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</si>
  <si>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</si>
  <si>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</si>
  <si>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</si>
  <si>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</si>
  <si>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</si>
  <si>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</si>
  <si>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</si>
  <si>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</si>
  <si>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</si>
  <si>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</si>
  <si>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</si>
  <si>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</si>
  <si>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</si>
  <si>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</si>
  <si>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</si>
  <si>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</si>
  <si>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</si>
  <si>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</si>
  <si>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</si>
  <si>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</si>
  <si>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</si>
  <si>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</si>
  <si>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</si>
  <si>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</si>
  <si>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</si>
  <si>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</si>
  <si>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</si>
  <si>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</si>
  <si>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</si>
  <si>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</si>
  <si>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</si>
  <si>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</si>
  <si>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</si>
  <si>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</si>
  <si>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</si>
  <si>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</si>
  <si>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</si>
  <si>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</si>
  <si>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</si>
  <si>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</si>
  <si>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</si>
  <si>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</si>
  <si>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</si>
  <si>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</si>
  <si>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</si>
  <si>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</si>
  <si>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</si>
  <si>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</si>
  <si>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</si>
  <si>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</si>
  <si>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</si>
  <si>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</si>
  <si>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</si>
  <si>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</si>
  <si>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</si>
  <si>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</si>
  <si>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</si>
  <si>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</si>
  <si>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</si>
  <si>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</si>
  <si>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</si>
  <si>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</si>
  <si>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</si>
  <si>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</si>
  <si>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</si>
  <si>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</si>
  <si>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</si>
  <si>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</si>
  <si>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</si>
  <si>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</si>
  <si>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</si>
  <si>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</si>
  <si>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</si>
  <si>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</si>
  <si>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</si>
  <si>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</si>
  <si>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</si>
  <si>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</si>
  <si>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</si>
  <si>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</si>
  <si>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</si>
  <si>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</si>
  <si>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</si>
  <si>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</si>
  <si>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</si>
  <si>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</si>
  <si>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</si>
  <si>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</si>
  <si>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</si>
  <si>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</si>
  <si>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</si>
  <si>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</si>
  <si>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</si>
  <si>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</si>
  <si>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</si>
  <si>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</si>
  <si>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</si>
  <si>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</si>
  <si>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</si>
  <si>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</si>
  <si>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</si>
  <si>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</si>
  <si>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</si>
  <si>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</si>
  <si>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</si>
  <si>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</si>
  <si>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</si>
  <si>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</si>
  <si>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</si>
  <si>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</si>
  <si>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</si>
  <si>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</si>
  <si>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</si>
  <si>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</si>
  <si>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</si>
  <si>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</si>
  <si>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</si>
  <si>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</si>
  <si>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</si>
  <si>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</si>
  <si>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</si>
  <si>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</si>
  <si>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</si>
  <si>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</si>
  <si>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</si>
  <si>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</si>
  <si>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</si>
  <si>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</si>
  <si>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</si>
  <si>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</si>
  <si>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</si>
  <si>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</si>
  <si>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</si>
  <si>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</si>
  <si>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</si>
  <si>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</si>
  <si>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</si>
  <si>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</si>
  <si>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</si>
  <si>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</si>
  <si>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</si>
  <si>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</si>
  <si>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</si>
  <si>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</si>
  <si>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</si>
  <si>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</si>
  <si>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</si>
  <si>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</si>
  <si>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</si>
  <si>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</si>
  <si>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</si>
  <si>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</si>
  <si>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</si>
  <si>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</si>
  <si>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</si>
  <si>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</si>
  <si>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</si>
  <si>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</si>
  <si>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</si>
  <si>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</si>
  <si>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</si>
  <si>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</si>
  <si>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</si>
  <si>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</si>
  <si>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</si>
  <si>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</si>
  <si>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</si>
  <si>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</si>
  <si>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</si>
  <si>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</si>
  <si>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</si>
  <si>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</si>
  <si>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</si>
  <si>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</si>
  <si>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</si>
  <si>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</si>
  <si>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</si>
  <si>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</si>
  <si>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</si>
  <si>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</si>
  <si>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</si>
  <si>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</si>
  <si>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</si>
  <si>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</si>
  <si>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</si>
  <si>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</si>
  <si>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</si>
  <si>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</si>
  <si>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</si>
  <si>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</si>
  <si>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</si>
  <si>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</si>
  <si>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</si>
  <si>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</si>
  <si>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</si>
  <si>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</si>
  <si>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</si>
  <si>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</si>
  <si>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</si>
  <si>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</si>
  <si>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</si>
  <si>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</si>
  <si>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</si>
  <si>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</si>
  <si>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</si>
  <si>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</si>
  <si>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</si>
  <si>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</si>
  <si>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</si>
  <si>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</si>
  <si>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</si>
  <si>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</si>
  <si>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</si>
  <si>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</si>
  <si>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</si>
  <si>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</si>
  <si>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</si>
  <si>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</si>
  <si>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</si>
  <si>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</si>
  <si>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</si>
  <si>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</si>
  <si>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</si>
  <si>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</si>
  <si>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</si>
  <si>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</si>
  <si>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</si>
  <si>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</si>
  <si>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</si>
  <si>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</si>
  <si>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</si>
  <si>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</si>
  <si>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</si>
  <si>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</si>
  <si>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</si>
  <si>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</si>
  <si>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</si>
  <si>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</si>
  <si>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</si>
  <si>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</si>
  <si>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</si>
  <si>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</si>
  <si>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</si>
  <si>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</si>
  <si>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</si>
  <si>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</si>
  <si>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</si>
  <si>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</si>
  <si>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</si>
  <si>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</si>
  <si>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</si>
  <si>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</si>
  <si>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</si>
  <si>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</si>
  <si>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</si>
  <si>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</si>
  <si>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</si>
  <si>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</si>
  <si>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</si>
  <si>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</si>
  <si>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</si>
  <si>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</si>
  <si>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</si>
  <si>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</si>
  <si>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</si>
  <si>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</si>
  <si>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</si>
  <si>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</si>
  <si>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</si>
  <si>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</si>
  <si>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</si>
  <si>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</si>
  <si>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</si>
  <si>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</si>
  <si>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</si>
  <si>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</si>
  <si>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</si>
  <si>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</si>
  <si>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</si>
  <si>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</si>
  <si>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</si>
  <si>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</si>
  <si>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</si>
  <si>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</si>
  <si>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</si>
  <si>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</si>
  <si>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</si>
  <si>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</si>
  <si>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</si>
  <si>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</si>
  <si>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</si>
  <si>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</si>
  <si>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</si>
  <si>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</si>
  <si>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</si>
  <si>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</si>
  <si>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</si>
  <si>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</si>
  <si>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</si>
  <si>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</si>
  <si>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</si>
  <si>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</si>
  <si>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</si>
  <si>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</si>
  <si>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</si>
  <si>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</si>
  <si>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</si>
  <si>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</si>
  <si>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</si>
  <si>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</si>
  <si>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</si>
  <si>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</si>
  <si>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</si>
  <si>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</si>
  <si>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</si>
  <si>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</si>
  <si>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</si>
  <si>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</si>
  <si>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</si>
  <si>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</si>
  <si>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</si>
  <si>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</si>
  <si>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</si>
  <si>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</si>
  <si>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</si>
  <si>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</si>
  <si>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</si>
  <si>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</si>
  <si>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</si>
  <si>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</si>
  <si>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</si>
  <si>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</si>
  <si>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</si>
  <si>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</si>
  <si>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</si>
  <si>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</si>
  <si>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</si>
  <si>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</si>
  <si>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</si>
  <si>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</si>
  <si>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</si>
  <si>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</si>
  <si>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</si>
  <si>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</si>
  <si>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</si>
  <si>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</si>
  <si>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</si>
  <si>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</si>
  <si>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</si>
  <si>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</si>
  <si>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</si>
  <si>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</si>
  <si>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</si>
  <si>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</si>
  <si>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</si>
  <si>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</si>
  <si>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</si>
  <si>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</si>
  <si>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</si>
  <si>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</si>
  <si>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</si>
  <si>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</si>
  <si>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</si>
  <si>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</si>
  <si>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</si>
  <si>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</si>
  <si>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</si>
  <si>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</si>
  <si>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</si>
  <si>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</si>
  <si>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</si>
  <si>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</si>
  <si>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</si>
  <si>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</si>
  <si>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</si>
  <si>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</si>
  <si>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</si>
  <si>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</si>
  <si>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</si>
  <si>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</si>
  <si>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</si>
  <si>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</si>
  <si>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</si>
  <si>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</si>
  <si>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</si>
  <si>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</si>
  <si>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</si>
  <si>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</si>
  <si>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</si>
  <si>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</si>
  <si>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</si>
  <si>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</si>
  <si>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</si>
  <si>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</si>
  <si>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</si>
  <si>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</si>
  <si>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</si>
  <si>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</si>
  <si>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</si>
  <si>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</si>
  <si>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</si>
  <si>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</si>
  <si>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</si>
  <si>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</si>
  <si>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</si>
  <si>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</si>
  <si>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</si>
  <si>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</si>
  <si>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</si>
  <si>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</si>
  <si>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</si>
  <si>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</si>
  <si>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</si>
  <si>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</si>
  <si>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</si>
  <si>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</si>
  <si>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</si>
  <si>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</si>
  <si>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</si>
  <si>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</si>
  <si>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</si>
  <si>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</si>
  <si>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</si>
  <si>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</si>
  <si>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</si>
  <si>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</si>
  <si>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</si>
  <si>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</si>
  <si>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</si>
  <si>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</si>
  <si>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</si>
  <si>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</si>
  <si>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</si>
  <si>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</si>
  <si>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</si>
  <si>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</si>
  <si>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</si>
  <si>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</si>
  <si>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</si>
  <si>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</si>
  <si>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</si>
  <si>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</si>
  <si>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</si>
  <si>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</si>
  <si>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</si>
  <si>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</si>
  <si>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</si>
  <si>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</si>
  <si>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</si>
  <si>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</si>
  <si>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</si>
  <si>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</si>
  <si>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</si>
  <si>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</si>
  <si>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</si>
  <si>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</si>
  <si>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</si>
  <si>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</si>
  <si>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</si>
  <si>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</si>
  <si>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</si>
  <si>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</si>
  <si>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</si>
  <si>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</si>
  <si>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</si>
  <si>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</si>
  <si>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</si>
  <si>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</si>
  <si>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</si>
  <si>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</si>
  <si>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</si>
  <si>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</si>
  <si>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</si>
  <si>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</si>
  <si>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</si>
  <si>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</si>
  <si>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</si>
  <si>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</si>
  <si>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</si>
  <si>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</si>
  <si>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</si>
  <si>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</si>
  <si>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</si>
  <si>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</si>
  <si>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</si>
  <si>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</si>
  <si>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</si>
  <si>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</si>
  <si>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</si>
  <si>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</si>
  <si>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</si>
  <si>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</si>
  <si>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</si>
  <si>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</si>
  <si>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</si>
  <si>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</si>
  <si>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</si>
  <si>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</si>
  <si>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</si>
  <si>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</si>
  <si>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</si>
  <si>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</si>
  <si>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</si>
  <si>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</si>
  <si>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</si>
  <si>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</si>
  <si>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</si>
  <si>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</si>
  <si>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</si>
  <si>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</si>
  <si>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</si>
  <si>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</si>
  <si>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</si>
  <si>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</si>
  <si>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</si>
  <si>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</si>
  <si>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</si>
  <si>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</si>
  <si>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</si>
  <si>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</si>
  <si>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</si>
  <si>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</si>
  <si>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</si>
  <si>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</si>
  <si>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</si>
  <si>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</si>
  <si>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</si>
  <si>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</si>
  <si>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</si>
  <si>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</si>
  <si>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</si>
  <si>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</si>
  <si>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</si>
  <si>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</si>
  <si>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</si>
  <si>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</si>
  <si>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</si>
  <si>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</si>
  <si>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</si>
  <si>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</si>
  <si>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</si>
  <si>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</si>
  <si>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</si>
  <si>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</si>
  <si>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</si>
  <si>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</si>
  <si>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</si>
  <si>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</si>
  <si>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</si>
  <si>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</si>
  <si>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</si>
  <si>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</si>
  <si>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</si>
  <si>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</si>
  <si>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</si>
  <si>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</si>
  <si>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</si>
  <si>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</si>
  <si>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</si>
  <si>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</si>
  <si>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</si>
  <si>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</si>
  <si>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</si>
  <si>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</si>
  <si>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</si>
  <si>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</si>
  <si>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</si>
  <si>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</si>
  <si>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</si>
  <si>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</si>
  <si>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</si>
  <si>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</si>
  <si>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</si>
  <si>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</si>
  <si>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</si>
  <si>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</si>
  <si>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</si>
  <si>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</si>
  <si>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</si>
  <si>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</si>
  <si>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</si>
  <si>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</si>
  <si>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</si>
  <si>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</si>
  <si>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</si>
  <si>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</si>
  <si>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</si>
  <si>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</si>
  <si>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</si>
  <si>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</si>
  <si>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</si>
  <si>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</si>
  <si>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</si>
  <si>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</si>
  <si>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</si>
  <si>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</si>
  <si>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</si>
  <si>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</si>
  <si>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</si>
  <si>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</si>
  <si>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</si>
  <si>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</si>
  <si>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</si>
  <si>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</si>
  <si>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</si>
  <si>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</si>
  <si>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</si>
  <si>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</si>
  <si>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</si>
  <si>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</si>
  <si>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</si>
  <si>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</si>
  <si>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</si>
  <si>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</si>
  <si>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</si>
  <si>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</si>
  <si>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</si>
  <si>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</si>
  <si>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</si>
  <si>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</si>
  <si>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</si>
  <si>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</si>
  <si>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</si>
  <si>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</si>
  <si>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</si>
  <si>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</si>
  <si>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</si>
  <si>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</si>
  <si>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</si>
  <si>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</si>
  <si>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</si>
  <si>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</si>
  <si>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</si>
  <si>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</si>
  <si>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</si>
  <si>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</si>
  <si>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</si>
  <si>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</si>
  <si>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</si>
  <si>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</si>
  <si>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</si>
  <si>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</si>
  <si>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</si>
  <si>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</si>
  <si>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</si>
  <si>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</si>
  <si>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</si>
  <si>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</si>
  <si>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</si>
  <si>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</si>
  <si>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</si>
  <si>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</si>
  <si>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</si>
  <si>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</si>
  <si>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</si>
  <si>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</si>
  <si>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</si>
  <si>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</si>
  <si>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</si>
  <si>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</si>
  <si>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</si>
  <si>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</si>
  <si>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</si>
  <si>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</si>
  <si>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</si>
  <si>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</si>
  <si>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</si>
  <si>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</si>
  <si>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</si>
  <si>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</si>
  <si>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</si>
  <si>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</si>
  <si>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</si>
  <si>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</si>
  <si>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</si>
  <si>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</si>
  <si>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</si>
  <si>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</si>
  <si>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</si>
  <si>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</si>
  <si>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</si>
  <si>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</si>
  <si>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</si>
  <si>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</si>
  <si>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</si>
  <si>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</si>
  <si>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</si>
  <si>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</si>
  <si>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</si>
  <si>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</si>
  <si>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</si>
  <si>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</si>
  <si>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</si>
  <si>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</si>
  <si>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</si>
  <si>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</si>
  <si>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</si>
  <si>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</si>
  <si>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</si>
  <si>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</si>
  <si>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</si>
  <si>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</si>
  <si>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</si>
  <si>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</si>
  <si>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</si>
  <si>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</si>
  <si>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</si>
  <si>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</si>
  <si>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</si>
  <si>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</si>
  <si>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</si>
  <si>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</si>
  <si>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</si>
  <si>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</si>
  <si>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</si>
  <si>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</si>
  <si>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</si>
  <si>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</si>
  <si>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</si>
  <si>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</si>
  <si>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</si>
  <si>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</si>
  <si>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</si>
  <si>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</si>
  <si>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</si>
  <si>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</si>
  <si>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</si>
  <si>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</si>
  <si>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</si>
  <si>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</si>
  <si>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</si>
  <si>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</si>
  <si>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</si>
  <si>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</si>
  <si>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</si>
  <si>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</si>
  <si>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</si>
  <si>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</si>
  <si>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</si>
  <si>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</si>
  <si>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</si>
  <si>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</si>
  <si>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</si>
  <si>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</si>
  <si>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</si>
  <si>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</si>
  <si>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</si>
  <si>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</si>
  <si>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</si>
  <si>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</si>
  <si>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</si>
  <si>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</si>
  <si>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</si>
  <si>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</si>
  <si>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</si>
  <si>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</si>
  <si>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</si>
  <si>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</si>
  <si>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</si>
  <si>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</si>
  <si>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</si>
  <si>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</si>
  <si>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</si>
  <si>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</si>
  <si>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</si>
  <si>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</si>
  <si>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</si>
  <si>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</si>
  <si>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</si>
  <si>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</si>
  <si>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</si>
  <si>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</si>
  <si>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</si>
  <si>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</si>
  <si>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</si>
  <si>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</si>
  <si>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</si>
  <si>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</si>
  <si>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</si>
  <si>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</si>
  <si>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</si>
  <si>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</si>
  <si>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</si>
  <si>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</si>
  <si>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</si>
  <si>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</si>
  <si>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</si>
  <si>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</si>
  <si>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</si>
  <si>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</si>
  <si>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</si>
  <si>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</si>
  <si>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</si>
  <si>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</si>
  <si>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</si>
  <si>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</si>
  <si>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</si>
  <si>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</si>
  <si>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</si>
  <si>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</si>
  <si>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</si>
  <si>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</si>
  <si>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</si>
  <si>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</si>
  <si>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</si>
  <si>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</si>
  <si>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</si>
  <si>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</si>
  <si>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</si>
  <si>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</si>
  <si>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</si>
  <si>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</si>
  <si>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</si>
  <si>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</si>
  <si>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</si>
  <si>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</si>
  <si>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counter</t>
  </si>
  <si>
    <t>Total Amount</t>
  </si>
  <si>
    <t>Total Duration</t>
  </si>
  <si>
    <t>Average Rating</t>
  </si>
  <si>
    <t>5* Calls</t>
  </si>
  <si>
    <t>Row Labels</t>
  </si>
  <si>
    <t>Friday</t>
  </si>
  <si>
    <t>Monday</t>
  </si>
  <si>
    <t>Saturday</t>
  </si>
  <si>
    <t>Sunday</t>
  </si>
  <si>
    <t>Thursday</t>
  </si>
  <si>
    <t>Tuesday</t>
  </si>
  <si>
    <t>Wednesday</t>
  </si>
  <si>
    <t>Grand Total</t>
  </si>
  <si>
    <t>Jan</t>
  </si>
  <si>
    <t>Feb</t>
  </si>
  <si>
    <t>Mar</t>
  </si>
  <si>
    <t>Apr</t>
  </si>
  <si>
    <t>May</t>
  </si>
  <si>
    <t>Jun</t>
  </si>
  <si>
    <t>Jul</t>
  </si>
  <si>
    <t>Aug</t>
  </si>
  <si>
    <t>Sep</t>
  </si>
  <si>
    <t>Oct</t>
  </si>
  <si>
    <t>Nov</t>
  </si>
  <si>
    <t>Dec</t>
  </si>
  <si>
    <t>Call counter2</t>
  </si>
  <si>
    <t>For graph</t>
  </si>
  <si>
    <t>Rep</t>
  </si>
  <si>
    <t>Calls</t>
  </si>
  <si>
    <t>Amount</t>
  </si>
  <si>
    <t>Sell Calls</t>
  </si>
  <si>
    <t>sell Amount</t>
  </si>
  <si>
    <t>Selected rep</t>
  </si>
  <si>
    <t>Column Labels</t>
  </si>
  <si>
    <t>Total</t>
  </si>
  <si>
    <t>Call Center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</si>
</sst>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quot;₹&quot;\ #,##0"/>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24"/>
      <color theme="1"/>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5"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0" fontId="0" fillId="0" borderId="0" xfId="0" applyNumberFormat="1"/>
    <xf numFmtId="166" fontId="0" fillId="0" borderId="0" xfId="0" applyNumberFormat="1"/>
    <xf numFmtId="0" fontId="0" fillId="0" borderId="0" xfId="0" pivotButton="1"/>
    <xf numFmtId="0" fontId="0" fillId="4" borderId="0" xfId="0" applyFill="1"/>
    <xf numFmtId="0" fontId="0" fillId="0" borderId="0" xfId="0" applyAlignment="1">
      <alignment horizontal="left"/>
    </xf>
    <xf numFmtId="167" fontId="0" fillId="0" borderId="0" xfId="0" applyNumberFormat="1"/>
    <xf numFmtId="0" fontId="0" fillId="5" borderId="0" xfId="0" applyFill="1" applyAlignment="1">
      <alignment horizontal="left"/>
    </xf>
    <xf numFmtId="0" fontId="0" fillId="0" borderId="0" xfId="0" applyAlignment="1">
      <alignment horizontal="left" indent="1"/>
    </xf>
    <xf numFmtId="168" fontId="0" fillId="4" borderId="0" xfId="0" applyNumberFormat="1" applyFill="1"/>
    <xf numFmtId="168" fontId="0" fillId="4" borderId="0" xfId="0" applyNumberFormat="1" applyFill="1" applyAlignment="1">
      <alignment horizontal="left" indent="1"/>
    </xf>
    <xf numFmtId="168" fontId="0" fillId="4" borderId="0" xfId="0" applyNumberFormat="1" applyFill="1" applyAlignment="1">
      <alignment horizontal="left" indent="3"/>
    </xf>
    <xf numFmtId="0" fontId="1" fillId="4" borderId="0" xfId="0" applyFont="1" applyFill="1"/>
    <xf numFmtId="168" fontId="1" fillId="4" borderId="0" xfId="0" applyNumberFormat="1" applyFont="1" applyFill="1" applyAlignment="1">
      <alignment horizontal="left" indent="1"/>
    </xf>
    <xf numFmtId="168" fontId="1" fillId="4" borderId="0" xfId="0" applyNumberFormat="1" applyFont="1" applyFill="1"/>
    <xf numFmtId="0" fontId="0" fillId="4" borderId="0" xfId="0" applyFill="1" applyAlignment="1"/>
    <xf numFmtId="0" fontId="4" fillId="4" borderId="0" xfId="0" applyFont="1" applyFill="1" applyAlignment="1"/>
  </cellXfs>
  <cellStyles count="1">
    <cellStyle name="Normal" xfId="0" builtinId="0"/>
  </cellStyles>
  <dxfs count="22">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ont>
        <b/>
        <color theme="1"/>
      </font>
      <border>
        <bottom style="thin">
          <color theme="5"/>
        </bottom>
        <vertical/>
        <horizontal/>
      </border>
    </dxf>
    <dxf>
      <font>
        <color theme="1"/>
      </font>
      <border diagonalUp="0" diagonalDown="0">
        <left/>
        <right/>
        <top/>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2 2" pivot="0" table="0" count="10" xr9:uid="{B6DAF3AE-C9AA-4D94-9D14-9DD8E467BA73}">
      <tableStyleElement type="wholeTable" dxfId="6"/>
      <tableStyleElement type="headerRow" dxfId="5"/>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4.9989318521683403E-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[Excel-portfolio-project.xlsx]Pivots!weekday pivot</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pivotFmt>
      <c:pivotFmt>
        <c:idx val="5"/>
        <c:spPr>
          <a:solidFill>
            <a:schemeClr val="accent2">
              <a:lumMod val="75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75000"/>
            </a:schemeClr>
          </a:solidFill>
          <a:ln>
            <a:noFill/>
          </a:ln>
          <a:effectLst/>
        </c:spPr>
      </c:pivotFmt>
      <c:pivotFmt>
        <c:idx val="8"/>
        <c:spPr>
          <a:solidFill>
            <a:schemeClr val="accent2">
              <a:lumMod val="75000"/>
            </a:schemeClr>
          </a:solidFill>
          <a:ln>
            <a:noFill/>
          </a:ln>
          <a:effectLst/>
        </c:spPr>
      </c:pivotFmt>
      <c:pivotFmt>
        <c:idx val="9"/>
        <c:spPr>
          <a:solidFill>
            <a:schemeClr val="accent2">
              <a:lumMod val="75000"/>
            </a:schemeClr>
          </a:solidFill>
          <a:ln>
            <a:noFill/>
          </a:ln>
          <a:effectLst/>
        </c:spPr>
      </c:pivotFmt>
    </c:pivotFmts>
    <c:plotArea>
      <c:layout>
        <c:manualLayout>
          <c:layoutTarget val="inner"/>
          <c:xMode val="edge"/>
          <c:yMode val="edge"/>
          <c:x val="0.29524218367815758"/>
          <c:y val="5.2419338195536513E-2"/>
          <c:w val="0.63925397833651987"/>
          <c:h val="0.88467745596981961"/>
        </c:manualLayout>
      </c:layout>
      <c:barChart>
        <c:barDir val="bar"/>
        <c:grouping val="stacked"/>
        <c:varyColors val="0"/>
        <c:ser>
          <c:idx val="0"/>
          <c:order val="0"/>
          <c:tx>
            <c:strRef>
              <c:f>Pivots!$I$23</c:f>
              <c:strCache>
                <c:ptCount val="1"/>
                <c:pt idx="0">
                  <c:v>Total</c:v>
                </c:pt>
              </c:strCache>
            </c:strRef>
          </c:tx>
          <c:spPr>
            <a:solidFill>
              <a:schemeClr val="accent2">
                <a:lumMod val="75000"/>
              </a:schemeClr>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Pivots!$H$24:$H$31</c:f>
              <c:strCache>
                <c:ptCount val="7"/>
                <c:pt idx="0">
                  <c:v>Sunday</c:v>
                </c:pt>
                <c:pt idx="1">
                  <c:v>Monday</c:v>
                </c:pt>
                <c:pt idx="2">
                  <c:v>Tuesday</c:v>
                </c:pt>
                <c:pt idx="3">
                  <c:v>Wednesday</c:v>
                </c:pt>
                <c:pt idx="4">
                  <c:v>Thursday</c:v>
                </c:pt>
                <c:pt idx="5">
                  <c:v>Friday</c:v>
                </c:pt>
                <c:pt idx="6">
                  <c:v>Saturday</c:v>
                </c:pt>
              </c:strCache>
            </c:strRef>
          </c:cat>
          <c:val>
            <c:numRef>
              <c:f>Pivots!$I$24:$I$31</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5CBB-453E-9397-F4A29D796D76}"/>
            </c:ext>
          </c:extLst>
        </c:ser>
        <c:dLbls>
          <c:showLegendKey val="0"/>
          <c:showVal val="0"/>
          <c:showCatName val="0"/>
          <c:showSerName val="0"/>
          <c:showPercent val="0"/>
          <c:showBubbleSize val="0"/>
        </c:dLbls>
        <c:gapWidth val="150"/>
        <c:overlap val="100"/>
        <c:axId val="1699783807"/>
        <c:axId val="1411908415"/>
      </c:barChart>
      <c:catAx>
        <c:axId val="1699783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1908415"/>
        <c:crosses val="autoZero"/>
        <c:auto val="1"/>
        <c:lblAlgn val="ctr"/>
        <c:lblOffset val="100"/>
        <c:noMultiLvlLbl val="0"/>
      </c:catAx>
      <c:valAx>
        <c:axId val="1411908415"/>
        <c:scaling>
          <c:orientation val="minMax"/>
        </c:scaling>
        <c:delete val="1"/>
        <c:axPos val="b"/>
        <c:numFmt formatCode="#,##0" sourceLinked="1"/>
        <c:majorTickMark val="none"/>
        <c:minorTickMark val="none"/>
        <c:tickLblPos val="nextTo"/>
        <c:crossAx val="169978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[Excel-portfolio-project.xlsx]Pivots!Month</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r>
              <a:rPr lang="en-IN" sz="1600">
                <a:solidFill>
                  <a:schemeClr val="accent2">
                    <a:lumMod val="75000"/>
                  </a:schemeClr>
                </a:solidFill>
                <a:latin typeface="+mj-lt"/>
              </a:rPr>
              <a:t>Call</a:t>
            </a:r>
            <a:r>
              <a:rPr lang="en-IN" sz="1600" baseline="0">
                <a:latin typeface="+mj-lt"/>
              </a:rPr>
              <a:t> </a:t>
            </a:r>
            <a:r>
              <a:rPr lang="en-IN" sz="1600" baseline="0">
                <a:solidFill>
                  <a:schemeClr val="accent2">
                    <a:lumMod val="75000"/>
                  </a:schemeClr>
                </a:solidFill>
                <a:latin typeface="+mj-lt"/>
              </a:rPr>
              <a:t>Trend</a:t>
            </a:r>
            <a:endParaRPr lang="en-IN" sz="1600">
              <a:solidFill>
                <a:schemeClr val="accent2">
                  <a:lumMod val="75000"/>
                </a:schemeClr>
              </a:solidFill>
              <a:latin typeface="+mj-lt"/>
            </a:endParaRPr>
          </a:p>
        </c:rich>
      </c:tx>
      <c:layout>
        <c:manualLayout>
          <c:xMode val="edge"/>
          <c:yMode val="edge"/>
          <c:x val="3.1262144246201391E-2"/>
          <c:y val="2.7679207430232597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5000">
                <a:schemeClr val="accent2">
                  <a:lumMod val="60000"/>
                  <a:lumOff val="40000"/>
                  <a:alpha val="50000"/>
                </a:schemeClr>
              </a:gs>
              <a:gs pos="100000">
                <a:schemeClr val="accent2">
                  <a:lumMod val="60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lumMod val="75000"/>
              </a:schemeClr>
            </a:solidFill>
            <a:round/>
          </a:ln>
          <a:effectLst/>
        </c:spPr>
        <c:marker>
          <c:symbol val="circle"/>
          <c:size val="7"/>
          <c:spPr>
            <a:solidFill>
              <a:schemeClr val="bg1">
                <a:lumMod val="95000"/>
              </a:schemeClr>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Pivots!$C$21</c:f>
              <c:strCache>
                <c:ptCount val="1"/>
                <c:pt idx="0">
                  <c:v>Call counter2</c:v>
                </c:pt>
              </c:strCache>
            </c:strRef>
          </c:tx>
          <c:spPr>
            <a:gradFill flip="none" rotWithShape="1">
              <a:gsLst>
                <a:gs pos="5000">
                  <a:schemeClr val="accent2">
                    <a:lumMod val="60000"/>
                    <a:lumOff val="40000"/>
                    <a:alpha val="50000"/>
                  </a:schemeClr>
                </a:gs>
                <a:gs pos="100000">
                  <a:schemeClr val="accent2">
                    <a:lumMod val="60000"/>
                  </a:schemeClr>
                </a:gs>
              </a:gsLst>
              <a:lin ang="16200000" scaled="0"/>
              <a:tileRect/>
            </a:gradFill>
            <a:ln>
              <a:noFill/>
            </a:ln>
            <a:effectLst/>
          </c:spP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Pivots!$C$22:$C$34</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A286-4822-86B0-CAE760AE5B20}"/>
            </c:ext>
          </c:extLst>
        </c:ser>
        <c:dLbls>
          <c:showLegendKey val="0"/>
          <c:showVal val="0"/>
          <c:showCatName val="0"/>
          <c:showSerName val="0"/>
          <c:showPercent val="0"/>
          <c:showBubbleSize val="0"/>
        </c:dLbls>
        <c:axId val="1699766047"/>
        <c:axId val="1699759807"/>
      </c:areaChart>
      <c:lineChart>
        <c:grouping val="standard"/>
        <c:varyColors val="0"/>
        <c:ser>
          <c:idx val="0"/>
          <c:order val="0"/>
          <c:tx>
            <c:strRef>
              <c:f>Pivots!$B$21</c:f>
              <c:strCache>
                <c:ptCount val="1"/>
                <c:pt idx="0">
                  <c:v>Call counter</c:v>
                </c:pt>
              </c:strCache>
            </c:strRef>
          </c:tx>
          <c:spPr>
            <a:ln w="28575" cap="rnd">
              <a:solidFill>
                <a:schemeClr val="accent2">
                  <a:lumMod val="75000"/>
                </a:schemeClr>
              </a:solidFill>
              <a:round/>
            </a:ln>
            <a:effectLst/>
          </c:spPr>
          <c:marker>
            <c:symbol val="circle"/>
            <c:size val="7"/>
            <c:spPr>
              <a:solidFill>
                <a:schemeClr val="bg1">
                  <a:lumMod val="95000"/>
                </a:schemeClr>
              </a:solidFill>
              <a:ln w="25400">
                <a:solidFill>
                  <a:schemeClr val="tx1">
                    <a:lumMod val="75000"/>
                    <a:lumOff val="25000"/>
                  </a:schemeClr>
                </a:solidFill>
              </a:ln>
              <a:effectLst/>
            </c:spPr>
          </c:marker>
          <c:cat>
            <c:strRef>
              <c:f>Pivots!$A$22:$A$34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Pivots!$B$22:$B$34</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A286-4822-86B0-CAE760AE5B20}"/>
            </c:ext>
          </c:extLst>
        </c:ser>
        <c:dLbls>
          <c:showLegendKey val="0"/>
          <c:showVal val="0"/>
          <c:showCatName val="0"/>
          <c:showSerName val="0"/>
          <c:showPercent val="0"/>
          <c:showBubbleSize val="0"/>
        </c:dLbls>
        <c:marker val="1"/>
        <c:smooth val="0"/>
        <c:axId val="1699766047"/>
        <c:axId val="1699759807"/>
      </c:lineChart>
      <c:catAx>
        <c:axId val="169976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59807"/>
        <c:crosses val="autoZero"/>
        <c:auto val="1"/>
        <c:lblAlgn val="ctr"/>
        <c:lblOffset val="100"/>
        <c:noMultiLvlLbl val="0"/>
      </c:catAx>
      <c:valAx>
        <c:axId val="16997598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6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75000"/>
                  </a:schemeClr>
                </a:solidFill>
                <a:latin typeface="+mj-lt"/>
              </a:rPr>
              <a:t>Calls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Pivots!$F$39:$F$43</c:f>
              <c:strCache>
                <c:ptCount val="5"/>
                <c:pt idx="0">
                  <c:v>R01</c:v>
                </c:pt>
                <c:pt idx="1">
                  <c:v>R02</c:v>
                </c:pt>
                <c:pt idx="2">
                  <c:v>R03</c:v>
                </c:pt>
                <c:pt idx="3">
                  <c:v>R04</c:v>
                </c:pt>
                <c:pt idx="4">
                  <c:v>R05</c:v>
                </c:pt>
              </c:strCache>
            </c:strRef>
          </c:cat>
          <c:val>
            <c:numRef>
              <c:f>Pivots!$G$39:$G$43</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2CC-4D54-B38E-51CF8BA0F2AE}"/>
            </c:ext>
          </c:extLst>
        </c:ser>
        <c:ser>
          <c:idx val="1"/>
          <c:order val="1"/>
          <c:tx>
            <c:strRef>
              <c:f>Pivots!$I$38</c:f>
              <c:strCache>
                <c:ptCount val="1"/>
                <c:pt idx="0">
                  <c:v>Sell Calls</c:v>
                </c:pt>
              </c:strCache>
            </c:strRef>
          </c:tx>
          <c:spPr>
            <a:gradFill flip="none" rotWithShape="1">
              <a:gsLst>
                <a:gs pos="5000">
                  <a:schemeClr val="accent2">
                    <a:lumMod val="40000"/>
                    <a:lumOff val="60000"/>
                  </a:schemeClr>
                </a:gs>
                <a:gs pos="100000">
                  <a:schemeClr val="accent2">
                    <a:lumMod val="75000"/>
                  </a:schemeClr>
                </a:gs>
              </a:gsLst>
              <a:lin ang="18900000" scaled="1"/>
              <a:tileRect/>
            </a:gradFill>
            <a:ln>
              <a:noFill/>
            </a:ln>
            <a:effectLst/>
          </c:spPr>
          <c:invertIfNegative val="0"/>
          <c:val>
            <c:numRef>
              <c:f>Pivots!$I$39:$I$43</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D2CC-4D54-B38E-51CF8BA0F2AE}"/>
            </c:ext>
          </c:extLst>
        </c:ser>
        <c:dLbls>
          <c:showLegendKey val="0"/>
          <c:showVal val="0"/>
          <c:showCatName val="0"/>
          <c:showSerName val="0"/>
          <c:showPercent val="0"/>
          <c:showBubbleSize val="0"/>
        </c:dLbls>
        <c:gapWidth val="25"/>
        <c:overlap val="100"/>
        <c:axId val="229753855"/>
        <c:axId val="229754335"/>
      </c:barChart>
      <c:catAx>
        <c:axId val="22975385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754335"/>
        <c:crosses val="autoZero"/>
        <c:auto val="1"/>
        <c:lblAlgn val="ctr"/>
        <c:lblOffset val="100"/>
        <c:noMultiLvlLbl val="0"/>
      </c:catAx>
      <c:valAx>
        <c:axId val="229754335"/>
        <c:scaling>
          <c:orientation val="minMax"/>
        </c:scaling>
        <c:delete val="1"/>
        <c:axPos val="t"/>
        <c:numFmt formatCode="#,##0" sourceLinked="1"/>
        <c:majorTickMark val="out"/>
        <c:minorTickMark val="none"/>
        <c:tickLblPos val="nextTo"/>
        <c:crossAx val="22975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75000"/>
                  </a:schemeClr>
                </a:solidFill>
                <a:latin typeface="+mj-lt"/>
              </a:rPr>
              <a:t>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Pivots!$F$39:$F$43</c:f>
              <c:strCache>
                <c:ptCount val="5"/>
                <c:pt idx="0">
                  <c:v>R01</c:v>
                </c:pt>
                <c:pt idx="1">
                  <c:v>R02</c:v>
                </c:pt>
                <c:pt idx="2">
                  <c:v>R03</c:v>
                </c:pt>
                <c:pt idx="3">
                  <c:v>R04</c:v>
                </c:pt>
                <c:pt idx="4">
                  <c:v>R05</c:v>
                </c:pt>
              </c:strCache>
            </c:strRef>
          </c:cat>
          <c:val>
            <c:numRef>
              <c:f>Pivots!$H$39:$H$43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7462-404F-8A92-A87F446AB739}"/>
            </c:ext>
          </c:extLst>
        </c:ser>
        <c:ser>
          <c:idx val="1"/>
          <c:order val="1"/>
          <c:tx>
            <c:strRef>
              <c:f>Pivots!$J$38</c:f>
              <c:strCache>
                <c:ptCount val="1"/>
                <c:pt idx="0">
                  <c:v>sell Amount</c:v>
                </c:pt>
              </c:strCache>
            </c:strRef>
          </c:tx>
          <c:spPr>
            <a:gradFill>
              <a:gsLst>
                <a:gs pos="0">
                  <a:schemeClr val="accent2">
                    <a:lumMod val="40000"/>
                    <a:lumOff val="60000"/>
                  </a:schemeClr>
                </a:gs>
                <a:gs pos="100000">
                  <a:schemeClr val="accent2">
                    <a:lumMod val="75000"/>
                  </a:schemeClr>
                </a:gs>
              </a:gsLst>
              <a:lin ang="18900000" scaled="1"/>
            </a:gradFill>
            <a:ln>
              <a:noFill/>
            </a:ln>
            <a:effectLst/>
          </c:spPr>
          <c:invertIfNegative val="0"/>
          <c:val>
            <c:numRef>
              <c:f>Pivots!$J$39:$J$43</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7462-404F-8A92-A87F446AB739}"/>
            </c:ext>
          </c:extLst>
        </c:ser>
        <c:dLbls>
          <c:showLegendKey val="0"/>
          <c:showVal val="0"/>
          <c:showCatName val="0"/>
          <c:showSerName val="0"/>
          <c:showPercent val="0"/>
          <c:showBubbleSize val="0"/>
        </c:dLbls>
        <c:gapWidth val="25"/>
        <c:overlap val="100"/>
        <c:axId val="229753855"/>
        <c:axId val="229754335"/>
      </c:barChart>
      <c:catAx>
        <c:axId val="229753855"/>
        <c:scaling>
          <c:orientation val="maxMin"/>
        </c:scaling>
        <c:delete val="1"/>
        <c:axPos val="l"/>
        <c:numFmt formatCode="General" sourceLinked="1"/>
        <c:majorTickMark val="out"/>
        <c:minorTickMark val="none"/>
        <c:tickLblPos val="nextTo"/>
        <c:crossAx val="229754335"/>
        <c:crosses val="autoZero"/>
        <c:auto val="1"/>
        <c:lblAlgn val="ctr"/>
        <c:lblOffset val="100"/>
        <c:noMultiLvlLbl val="0"/>
      </c:catAx>
      <c:valAx>
        <c:axId val="229754335"/>
        <c:scaling>
          <c:orientation val="minMax"/>
          <c:min val="0"/>
        </c:scaling>
        <c:delete val="1"/>
        <c:axPos val="t"/>
        <c:numFmt formatCode="\$#,###.0,&quot;k&quot;" sourceLinked="1"/>
        <c:majorTickMark val="out"/>
        <c:minorTickMark val="none"/>
        <c:tickLblPos val="nextTo"/>
        <c:crossAx val="22975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2">
                    <a:lumMod val="75000"/>
                  </a:schemeClr>
                </a:solidFill>
                <a:latin typeface="+mj-lt"/>
              </a:rPr>
              <a:t>Female</a:t>
            </a:r>
            <a:r>
              <a:rPr lang="en-IN" baseline="0">
                <a:latin typeface="+mj-lt"/>
              </a:rPr>
              <a:t> </a:t>
            </a:r>
            <a:r>
              <a:rPr lang="en-IN" baseline="0">
                <a:solidFill>
                  <a:schemeClr val="tx1"/>
                </a:solidFill>
                <a:latin typeface="+mj-lt"/>
              </a:rPr>
              <a:t>vs</a:t>
            </a:r>
            <a:r>
              <a:rPr lang="en-IN" baseline="0">
                <a:latin typeface="+mj-lt"/>
              </a:rPr>
              <a:t> </a:t>
            </a:r>
            <a:r>
              <a:rPr lang="en-IN" baseline="0">
                <a:solidFill>
                  <a:srgbClr val="92D050"/>
                </a:solidFill>
                <a:latin typeface="+mj-lt"/>
              </a:rPr>
              <a:t>Male</a:t>
            </a:r>
            <a:r>
              <a:rPr lang="en-IN" baseline="0">
                <a:latin typeface="+mj-lt"/>
              </a:rPr>
              <a:t> </a:t>
            </a:r>
            <a:r>
              <a:rPr lang="en-IN" baseline="0">
                <a:solidFill>
                  <a:schemeClr val="tx1"/>
                </a:solidFill>
                <a:latin typeface="+mj-lt"/>
              </a:rPr>
              <a:t>Callers</a:t>
            </a:r>
            <a:endParaRPr lang="en-IN">
              <a:solidFill>
                <a:schemeClr val="tx1"/>
              </a:solidFill>
              <a:latin typeface="+mj-lt"/>
            </a:endParaRPr>
          </a:p>
        </c:rich>
      </c:tx>
      <c:layout>
        <c:manualLayout>
          <c:xMode val="edge"/>
          <c:yMode val="edge"/>
          <c:x val="7.3304659691511176E-2"/>
          <c:y val="3.07017543859649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92D050"/>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rgbClr val="92D050"/>
          </a:solidFill>
          <a:ln>
            <a:noFill/>
          </a:ln>
          <a:effectLst/>
        </c:spPr>
      </c:pivotFmt>
      <c:pivotFmt>
        <c:idx val="7"/>
        <c:spPr>
          <a:solidFill>
            <a:srgbClr val="92D050"/>
          </a:solidFill>
          <a:ln>
            <a:noFill/>
          </a:ln>
          <a:effectLst/>
        </c:spPr>
      </c:pivotFmt>
    </c:pivotFmts>
    <c:plotArea>
      <c:layout/>
      <c:barChart>
        <c:barDir val="col"/>
        <c:grouping val="percentStacked"/>
        <c:varyColors val="0"/>
        <c:ser>
          <c:idx val="0"/>
          <c:order val="0"/>
          <c:tx>
            <c:strRef>
              <c:f>Pivots!$G$48:$G$49</c:f>
              <c:strCache>
                <c:ptCount val="1"/>
                <c:pt idx="0">
                  <c:v>Female</c:v>
                </c:pt>
              </c:strCache>
            </c:strRef>
          </c:tx>
          <c:spPr>
            <a:solidFill>
              <a:schemeClr val="accent2">
                <a:lumMod val="75000"/>
              </a:schemeClr>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Pivots!$F$50:$F$53</c:f>
              <c:strCache>
                <c:ptCount val="3"/>
                <c:pt idx="0">
                  <c:v>Cincinnati</c:v>
                </c:pt>
                <c:pt idx="1">
                  <c:v>Cleveland</c:v>
                </c:pt>
                <c:pt idx="2">
                  <c:v>Columbus</c:v>
                </c:pt>
              </c:strCache>
            </c:strRef>
          </c:cat>
          <c:val>
            <c:numRef>
              <c:f>Pivots!$G$50:$G$53</c:f>
              <c:numCache>
                <c:formatCode>#,##0</c:formatCode>
                <c:ptCount val="3"/>
                <c:pt idx="0">
                  <c:v>144</c:v>
                </c:pt>
                <c:pt idx="1">
                  <c:v>326</c:v>
                </c:pt>
                <c:pt idx="2">
                  <c:v>129</c:v>
                </c:pt>
              </c:numCache>
            </c:numRef>
          </c:val>
          <c:extLst>
            <c:ext xmlns:c16="http://schemas.microsoft.com/office/drawing/2014/chart" uri="{C3380CC4-5D6E-409C-BE32-E72D297353CC}">
              <c16:uniqueId val="{00000000-987A-4507-BBC6-471A43AD6BD9}"/>
            </c:ext>
          </c:extLst>
        </c:ser>
        <c:ser>
          <c:idx val="1"/>
          <c:order val="1"/>
          <c:tx>
            <c:strRef>
              <c:f>Pivots!$H$48:$H$49</c:f>
              <c:strCache>
                <c:ptCount val="1"/>
                <c:pt idx="0">
                  <c:v>Male</c:v>
                </c:pt>
              </c:strCache>
            </c:strRef>
          </c:tx>
          <c:spPr>
            <a:solidFill>
              <a:srgbClr val="92D050"/>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Pivots!$F$50:$F$53</c:f>
              <c:strCache>
                <c:ptCount val="3"/>
                <c:pt idx="0">
                  <c:v>Cincinnati</c:v>
                </c:pt>
                <c:pt idx="1">
                  <c:v>Cleveland</c:v>
                </c:pt>
                <c:pt idx="2">
                  <c:v>Columbus</c:v>
                </c:pt>
              </c:strCache>
            </c:strRef>
          </c:cat>
          <c:val>
            <c:numRef>
              <c:f>Pivots!$H$50:$H$53</c:f>
              <c:numCache>
                <c:formatCode>#,##0</c:formatCode>
                <c:ptCount val="3"/>
                <c:pt idx="0">
                  <c:v>132</c:v>
                </c:pt>
                <c:pt idx="1">
                  <c:v>63</c:v>
                </c:pt>
                <c:pt idx="2">
                  <c:v>206</c:v>
                </c:pt>
              </c:numCache>
            </c:numRef>
          </c:val>
          <c:extLst>
            <c:ext xmlns:c16="http://schemas.microsoft.com/office/drawing/2014/chart" uri="{C3380CC4-5D6E-409C-BE32-E72D297353CC}">
              <c16:uniqueId val="{00000001-987A-4507-BBC6-471A43AD6BD9}"/>
            </c:ext>
          </c:extLst>
        </c:ser>
        <c:dLbls>
          <c:dLblPos val="ctr"/>
          <c:showLegendKey val="0"/>
          <c:showVal val="1"/>
          <c:showCatName val="0"/>
          <c:showSerName val="0"/>
          <c:showPercent val="0"/>
          <c:showBubbleSize val="0"/>
        </c:dLbls>
        <c:gapWidth val="25"/>
        <c:overlap val="100"/>
        <c:axId val="1699766047"/>
        <c:axId val="1699752127"/>
      </c:barChart>
      <c:catAx>
        <c:axId val="1699766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52127"/>
        <c:crosses val="autoZero"/>
        <c:auto val="1"/>
        <c:lblAlgn val="ctr"/>
        <c:lblOffset val="100"/>
        <c:noMultiLvlLbl val="0"/>
      </c:catAx>
      <c:valAx>
        <c:axId val="1699752127"/>
        <c:scaling>
          <c:orientation val="minMax"/>
        </c:scaling>
        <c:delete val="1"/>
        <c:axPos val="l"/>
        <c:numFmt formatCode="0%" sourceLinked="1"/>
        <c:majorTickMark val="none"/>
        <c:minorTickMark val="none"/>
        <c:tickLblPos val="nextTo"/>
        <c:crossAx val="169976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[Excel-portfolio-project.xlsx]Pivots!Rep satisfaction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Pivots!$G$61</c:f>
              <c:strCache>
                <c:ptCount val="1"/>
                <c:pt idx="0">
                  <c:v>Total</c:v>
                </c:pt>
              </c:strCache>
            </c:strRef>
          </c:tx>
          <c:spPr>
            <a:solidFill>
              <a:schemeClr val="accent1"/>
            </a:solidFill>
            <a:ln>
              <a:noFill/>
            </a:ln>
            <a:effectLst/>
          </c:spPr>
          <c:invertIfNegative val="0"/>
          <c:cat>
            <c:strRef>
              <c:f>Pivots!$F$62:$F$67</c:f>
              <c:strCache>
                <c:ptCount val="5"/>
                <c:pt idx="0">
                  <c:v>1</c:v>
                </c:pt>
                <c:pt idx="1">
                  <c:v>2</c:v>
                </c:pt>
                <c:pt idx="2">
                  <c:v>3</c:v>
                </c:pt>
                <c:pt idx="3">
                  <c:v>4</c:v>
                </c:pt>
                <c:pt idx="4">
                  <c:v>5</c:v>
                </c:pt>
              </c:strCache>
            </c:strRef>
          </c:cat>
          <c:val>
            <c:numRef>
              <c:f>Pivots!$G$62:$G$67</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A466-492E-8407-9284A84212B4}"/>
            </c:ext>
          </c:extLst>
        </c:ser>
        <c:dLbls>
          <c:showLegendKey val="0"/>
          <c:showVal val="0"/>
          <c:showCatName val="0"/>
          <c:showSerName val="0"/>
          <c:showPercent val="0"/>
          <c:showBubbleSize val="0"/>
        </c:dLbls>
        <c:gapWidth val="10"/>
        <c:overlap val="-27"/>
        <c:axId val="1699761727"/>
        <c:axId val="1699762207"/>
      </c:barChart>
      <c:catAx>
        <c:axId val="169976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62207"/>
        <c:crosses val="autoZero"/>
        <c:auto val="1"/>
        <c:lblAlgn val="ctr"/>
        <c:lblOffset val="100"/>
        <c:noMultiLvlLbl val="0"/>
      </c:catAx>
      <c:valAx>
        <c:axId val="16997622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76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30480</xdr:colOff>
      <xdr:row>3</xdr:row>
      <xdr:rowOff>38100</xdr:rowOff>
    </xdr:from>
    <xdr:to>
      <xdr:col>4</xdr:col>
      <xdr:colOff>15240</xdr:colOff>
      <xdr:row>7</xdr:row>
      <xdr:rowOff>15240</xdr:rowOff>
    </xdr:to>
    <xdr:sp macro="" textlink="Pivots!A4">
      <xdr:nvSpPr>
        <xdr:cNvPr id="2" name="Rectangle 1">
          <a:extLst>
            <a:ext uri="{FF2B5EF4-FFF2-40B4-BE49-F238E27FC236}">
              <a16:creationId xmlns:a16="http://schemas.microsoft.com/office/drawing/2014/main" id="{270F542E-A7D0-0B92-427B-187207273542}"/>
            </a:ext>
          </a:extLst>
        </xdr:cNvPr>
        <xdr:cNvSpPr/>
      </xdr:nvSpPr>
      <xdr:spPr>
        <a:xfrm>
          <a:off x="434340" y="586740"/>
          <a:ext cx="1325880" cy="708660"/>
        </a:xfrm>
        <a:prstGeom prst="rect">
          <a:avLst/>
        </a:prstGeom>
        <a:solidFill>
          <a:schemeClr val="accent2">
            <a:lumMod val="75000"/>
          </a:schemeClr>
        </a:solidFill>
        <a:ln>
          <a:noFill/>
        </a:ln>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46285F-FDB4-4B10-9F96-FA919E727484}" type="TxLink">
            <a:rPr lang="en-US" sz="2400" b="0" i="0" u="none" strike="noStrike">
              <a:solidFill>
                <a:schemeClr val="bg2"/>
              </a:solidFill>
              <a:latin typeface="+mj-lt"/>
            </a:rPr>
            <a:pPr algn="ctr"/>
            <a:t>1,000</a:t>
          </a:fld>
          <a:endParaRPr lang="en-IN" sz="2400" b="0" i="0" u="none" strike="noStrike">
            <a:solidFill>
              <a:schemeClr val="bg2"/>
            </a:solidFill>
            <a:latin typeface="+mj-lt"/>
          </a:endParaRPr>
        </a:p>
      </xdr:txBody>
    </xdr:sp>
    <xdr:clientData/>
  </xdr:twoCellAnchor>
  <xdr:twoCellAnchor>
    <xdr:from>
      <xdr:col>2</xdr:col>
      <xdr:colOff>480060</xdr:colOff>
      <xdr:row>3</xdr:row>
      <xdr:rowOff>38100</xdr:rowOff>
    </xdr:from>
    <xdr:to>
      <xdr:col>3</xdr:col>
      <xdr:colOff>388620</xdr:colOff>
      <xdr:row>4</xdr:row>
      <xdr:rowOff>53340</xdr:rowOff>
    </xdr:to>
    <xdr:sp macro="" textlink="">
      <xdr:nvSpPr>
        <xdr:cNvPr id="3" name="TextBox 2">
          <a:extLst>
            <a:ext uri="{FF2B5EF4-FFF2-40B4-BE49-F238E27FC236}">
              <a16:creationId xmlns:a16="http://schemas.microsoft.com/office/drawing/2014/main" id="{5A07A985-443F-1667-3673-46908BF178DE}"/>
            </a:ext>
          </a:extLst>
        </xdr:cNvPr>
        <xdr:cNvSpPr txBox="1"/>
      </xdr:nvSpPr>
      <xdr:spPr>
        <a:xfrm>
          <a:off x="883920" y="586740"/>
          <a:ext cx="579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95000"/>
                </a:schemeClr>
              </a:solidFill>
              <a:latin typeface="+mj-lt"/>
            </a:rPr>
            <a:t>calls</a:t>
          </a:r>
        </a:p>
      </xdr:txBody>
    </xdr:sp>
    <xdr:clientData/>
  </xdr:twoCellAnchor>
  <xdr:twoCellAnchor editAs="oneCell">
    <xdr:from>
      <xdr:col>2</xdr:col>
      <xdr:colOff>89500</xdr:colOff>
      <xdr:row>3</xdr:row>
      <xdr:rowOff>82555</xdr:rowOff>
    </xdr:from>
    <xdr:to>
      <xdr:col>2</xdr:col>
      <xdr:colOff>304396</xdr:colOff>
      <xdr:row>4</xdr:row>
      <xdr:rowOff>109357</xdr:rowOff>
    </xdr:to>
    <xdr:pic>
      <xdr:nvPicPr>
        <xdr:cNvPr id="4" name="Graphic 3" descr="Receiver with solid fill">
          <a:extLst>
            <a:ext uri="{FF2B5EF4-FFF2-40B4-BE49-F238E27FC236}">
              <a16:creationId xmlns:a16="http://schemas.microsoft.com/office/drawing/2014/main" id="{359EBE56-7A62-409A-877D-6A3A5B3EC6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043326">
          <a:off x="493360" y="631195"/>
          <a:ext cx="214896" cy="209682"/>
        </a:xfrm>
        <a:prstGeom prst="rect">
          <a:avLst/>
        </a:prstGeom>
      </xdr:spPr>
    </xdr:pic>
    <xdr:clientData/>
  </xdr:twoCellAnchor>
  <xdr:twoCellAnchor>
    <xdr:from>
      <xdr:col>2</xdr:col>
      <xdr:colOff>487680</xdr:colOff>
      <xdr:row>5</xdr:row>
      <xdr:rowOff>137160</xdr:rowOff>
    </xdr:from>
    <xdr:to>
      <xdr:col>3</xdr:col>
      <xdr:colOff>304800</xdr:colOff>
      <xdr:row>6</xdr:row>
      <xdr:rowOff>167640</xdr:rowOff>
    </xdr:to>
    <xdr:sp macro="" textlink="Pivots!A11">
      <xdr:nvSpPr>
        <xdr:cNvPr id="5" name="TextBox 4">
          <a:extLst>
            <a:ext uri="{FF2B5EF4-FFF2-40B4-BE49-F238E27FC236}">
              <a16:creationId xmlns:a16="http://schemas.microsoft.com/office/drawing/2014/main" id="{46A11B4E-B778-765B-3FC1-70873499C306}"/>
            </a:ext>
          </a:extLst>
        </xdr:cNvPr>
        <xdr:cNvSpPr txBox="1"/>
      </xdr:nvSpPr>
      <xdr:spPr>
        <a:xfrm>
          <a:off x="891540" y="1051560"/>
          <a:ext cx="4876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6705E9-7DF0-45DA-B030-EE7BFA9935CD}" type="TxLink">
            <a:rPr lang="en-US" sz="1100" b="0" i="0" u="none" strike="noStrike">
              <a:solidFill>
                <a:schemeClr val="accent2">
                  <a:lumMod val="20000"/>
                  <a:lumOff val="80000"/>
                </a:schemeClr>
              </a:solidFill>
              <a:latin typeface="Aptos"/>
            </a:rPr>
            <a:t>218</a:t>
          </a:fld>
          <a:endParaRPr lang="en-IN" sz="1100">
            <a:solidFill>
              <a:schemeClr val="accent2">
                <a:lumMod val="20000"/>
                <a:lumOff val="80000"/>
              </a:schemeClr>
            </a:solidFill>
          </a:endParaRPr>
        </a:p>
      </xdr:txBody>
    </xdr:sp>
    <xdr:clientData/>
  </xdr:twoCellAnchor>
  <xdr:twoCellAnchor>
    <xdr:from>
      <xdr:col>2</xdr:col>
      <xdr:colOff>0</xdr:colOff>
      <xdr:row>9</xdr:row>
      <xdr:rowOff>0</xdr:rowOff>
    </xdr:from>
    <xdr:to>
      <xdr:col>3</xdr:col>
      <xdr:colOff>655320</xdr:colOff>
      <xdr:row>12</xdr:row>
      <xdr:rowOff>160020</xdr:rowOff>
    </xdr:to>
    <xdr:sp macro="" textlink="Pivots!B4">
      <xdr:nvSpPr>
        <xdr:cNvPr id="19" name="Rectangle 18">
          <a:extLst>
            <a:ext uri="{FF2B5EF4-FFF2-40B4-BE49-F238E27FC236}">
              <a16:creationId xmlns:a16="http://schemas.microsoft.com/office/drawing/2014/main" id="{E653155D-A9C6-472A-A39E-84863F94C199}"/>
            </a:ext>
          </a:extLst>
        </xdr:cNvPr>
        <xdr:cNvSpPr/>
      </xdr:nvSpPr>
      <xdr:spPr>
        <a:xfrm>
          <a:off x="403860" y="1645920"/>
          <a:ext cx="1325880" cy="708660"/>
        </a:xfrm>
        <a:prstGeom prst="rect">
          <a:avLst/>
        </a:prstGeom>
        <a:solidFill>
          <a:schemeClr val="accent2">
            <a:lumMod val="75000"/>
          </a:schemeClr>
        </a:solidFill>
        <a:ln>
          <a:noFill/>
        </a:ln>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5CB1B1-377C-43E4-B6C6-662759795159}" type="TxLink">
            <a:rPr lang="en-US" sz="2400" b="0" i="0" u="none" strike="noStrike">
              <a:solidFill>
                <a:schemeClr val="bg2"/>
              </a:solidFill>
              <a:latin typeface="+mj-lt"/>
            </a:rPr>
            <a:pPr algn="ctr"/>
            <a:t>$96,623</a:t>
          </a:fld>
          <a:endParaRPr lang="en-IN" sz="2400" b="0" i="0" u="none" strike="noStrike">
            <a:solidFill>
              <a:schemeClr val="bg2"/>
            </a:solidFill>
            <a:latin typeface="+mj-lt"/>
          </a:endParaRPr>
        </a:p>
      </xdr:txBody>
    </xdr:sp>
    <xdr:clientData/>
  </xdr:twoCellAnchor>
  <xdr:twoCellAnchor>
    <xdr:from>
      <xdr:col>2</xdr:col>
      <xdr:colOff>449580</xdr:colOff>
      <xdr:row>9</xdr:row>
      <xdr:rowOff>0</xdr:rowOff>
    </xdr:from>
    <xdr:to>
      <xdr:col>3</xdr:col>
      <xdr:colOff>358140</xdr:colOff>
      <xdr:row>10</xdr:row>
      <xdr:rowOff>15240</xdr:rowOff>
    </xdr:to>
    <xdr:sp macro="" textlink="">
      <xdr:nvSpPr>
        <xdr:cNvPr id="20" name="TextBox 19">
          <a:extLst>
            <a:ext uri="{FF2B5EF4-FFF2-40B4-BE49-F238E27FC236}">
              <a16:creationId xmlns:a16="http://schemas.microsoft.com/office/drawing/2014/main" id="{F9821C17-21DD-49A8-87B4-1E37989CA2CB}"/>
            </a:ext>
          </a:extLst>
        </xdr:cNvPr>
        <xdr:cNvSpPr txBox="1"/>
      </xdr:nvSpPr>
      <xdr:spPr>
        <a:xfrm>
          <a:off x="853440" y="1645920"/>
          <a:ext cx="579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95000"/>
                </a:schemeClr>
              </a:solidFill>
              <a:latin typeface="+mj-lt"/>
            </a:rPr>
            <a:t>calls</a:t>
          </a:r>
        </a:p>
      </xdr:txBody>
    </xdr:sp>
    <xdr:clientData/>
  </xdr:twoCellAnchor>
  <xdr:twoCellAnchor editAs="oneCell">
    <xdr:from>
      <xdr:col>2</xdr:col>
      <xdr:colOff>59122</xdr:colOff>
      <xdr:row>9</xdr:row>
      <xdr:rowOff>44455</xdr:rowOff>
    </xdr:from>
    <xdr:to>
      <xdr:col>2</xdr:col>
      <xdr:colOff>273814</xdr:colOff>
      <xdr:row>10</xdr:row>
      <xdr:rowOff>71257</xdr:rowOff>
    </xdr:to>
    <xdr:pic>
      <xdr:nvPicPr>
        <xdr:cNvPr id="21" name="Graphic 20">
          <a:extLst>
            <a:ext uri="{FF2B5EF4-FFF2-40B4-BE49-F238E27FC236}">
              <a16:creationId xmlns:a16="http://schemas.microsoft.com/office/drawing/2014/main" id="{C43FF008-28EB-40B2-BA90-07BF5922753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6218" y="1735469"/>
          <a:ext cx="214692" cy="214692"/>
        </a:xfrm>
        <a:prstGeom prst="rect">
          <a:avLst/>
        </a:prstGeom>
      </xdr:spPr>
    </xdr:pic>
    <xdr:clientData/>
  </xdr:twoCellAnchor>
  <xdr:twoCellAnchor>
    <xdr:from>
      <xdr:col>2</xdr:col>
      <xdr:colOff>457200</xdr:colOff>
      <xdr:row>11</xdr:row>
      <xdr:rowOff>99060</xdr:rowOff>
    </xdr:from>
    <xdr:to>
      <xdr:col>3</xdr:col>
      <xdr:colOff>274320</xdr:colOff>
      <xdr:row>12</xdr:row>
      <xdr:rowOff>129540</xdr:rowOff>
    </xdr:to>
    <xdr:sp macro="" textlink="Pivots!A11">
      <xdr:nvSpPr>
        <xdr:cNvPr id="22" name="TextBox 21">
          <a:extLst>
            <a:ext uri="{FF2B5EF4-FFF2-40B4-BE49-F238E27FC236}">
              <a16:creationId xmlns:a16="http://schemas.microsoft.com/office/drawing/2014/main" id="{314FAE71-69E7-4607-8E9A-595366948BF0}"/>
            </a:ext>
          </a:extLst>
        </xdr:cNvPr>
        <xdr:cNvSpPr txBox="1"/>
      </xdr:nvSpPr>
      <xdr:spPr>
        <a:xfrm>
          <a:off x="861060" y="2110740"/>
          <a:ext cx="4876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6705E9-7DF0-45DA-B030-EE7BFA9935CD}" type="TxLink">
            <a:rPr lang="en-US" sz="1100" b="0" i="0" u="none" strike="noStrike">
              <a:solidFill>
                <a:schemeClr val="accent2">
                  <a:lumMod val="20000"/>
                  <a:lumOff val="80000"/>
                </a:schemeClr>
              </a:solidFill>
              <a:latin typeface="Aptos"/>
            </a:rPr>
            <a:t>218</a:t>
          </a:fld>
          <a:endParaRPr lang="en-IN" sz="1100">
            <a:solidFill>
              <a:schemeClr val="accent2">
                <a:lumMod val="20000"/>
                <a:lumOff val="80000"/>
              </a:schemeClr>
            </a:solidFill>
          </a:endParaRPr>
        </a:p>
      </xdr:txBody>
    </xdr:sp>
    <xdr:clientData/>
  </xdr:twoCellAnchor>
  <xdr:twoCellAnchor>
    <xdr:from>
      <xdr:col>2</xdr:col>
      <xdr:colOff>0</xdr:colOff>
      <xdr:row>15</xdr:row>
      <xdr:rowOff>0</xdr:rowOff>
    </xdr:from>
    <xdr:to>
      <xdr:col>3</xdr:col>
      <xdr:colOff>655320</xdr:colOff>
      <xdr:row>18</xdr:row>
      <xdr:rowOff>160020</xdr:rowOff>
    </xdr:to>
    <xdr:sp macro="" textlink="Pivots!C4">
      <xdr:nvSpPr>
        <xdr:cNvPr id="23" name="Rectangle 22">
          <a:extLst>
            <a:ext uri="{FF2B5EF4-FFF2-40B4-BE49-F238E27FC236}">
              <a16:creationId xmlns:a16="http://schemas.microsoft.com/office/drawing/2014/main" id="{C7D88990-23D5-41E8-85FB-572051ED1B6D}"/>
            </a:ext>
          </a:extLst>
        </xdr:cNvPr>
        <xdr:cNvSpPr/>
      </xdr:nvSpPr>
      <xdr:spPr>
        <a:xfrm>
          <a:off x="403860" y="2743200"/>
          <a:ext cx="1325880" cy="708660"/>
        </a:xfrm>
        <a:prstGeom prst="rect">
          <a:avLst/>
        </a:prstGeom>
        <a:solidFill>
          <a:schemeClr val="accent2">
            <a:lumMod val="75000"/>
          </a:schemeClr>
        </a:solidFill>
        <a:ln>
          <a:noFill/>
        </a:ln>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528F820-AD52-4405-9AAB-51814890DE71}" type="TxLink">
            <a:rPr lang="en-US" sz="2400" b="0" i="0" u="none" strike="noStrike">
              <a:solidFill>
                <a:schemeClr val="bg2"/>
              </a:solidFill>
              <a:latin typeface="+mj-lt"/>
            </a:rPr>
            <a:pPr algn="ctr"/>
            <a:t>89850</a:t>
          </a:fld>
          <a:endParaRPr lang="en-IN" sz="2400" b="0" i="0" u="none" strike="noStrike">
            <a:solidFill>
              <a:schemeClr val="bg2"/>
            </a:solidFill>
            <a:latin typeface="+mj-lt"/>
          </a:endParaRPr>
        </a:p>
      </xdr:txBody>
    </xdr:sp>
    <xdr:clientData/>
  </xdr:twoCellAnchor>
  <xdr:twoCellAnchor>
    <xdr:from>
      <xdr:col>2</xdr:col>
      <xdr:colOff>449580</xdr:colOff>
      <xdr:row>15</xdr:row>
      <xdr:rowOff>0</xdr:rowOff>
    </xdr:from>
    <xdr:to>
      <xdr:col>3</xdr:col>
      <xdr:colOff>358140</xdr:colOff>
      <xdr:row>16</xdr:row>
      <xdr:rowOff>15240</xdr:rowOff>
    </xdr:to>
    <xdr:sp macro="" textlink="">
      <xdr:nvSpPr>
        <xdr:cNvPr id="24" name="TextBox 23">
          <a:extLst>
            <a:ext uri="{FF2B5EF4-FFF2-40B4-BE49-F238E27FC236}">
              <a16:creationId xmlns:a16="http://schemas.microsoft.com/office/drawing/2014/main" id="{E4E4C86D-3286-4865-9199-801C7498AFAB}"/>
            </a:ext>
          </a:extLst>
        </xdr:cNvPr>
        <xdr:cNvSpPr txBox="1"/>
      </xdr:nvSpPr>
      <xdr:spPr>
        <a:xfrm>
          <a:off x="853440" y="2743200"/>
          <a:ext cx="579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95000"/>
                </a:schemeClr>
              </a:solidFill>
              <a:latin typeface="+mj-lt"/>
            </a:rPr>
            <a:t>calls</a:t>
          </a:r>
        </a:p>
      </xdr:txBody>
    </xdr:sp>
    <xdr:clientData/>
  </xdr:twoCellAnchor>
  <xdr:twoCellAnchor editAs="oneCell">
    <xdr:from>
      <xdr:col>2</xdr:col>
      <xdr:colOff>59121</xdr:colOff>
      <xdr:row>15</xdr:row>
      <xdr:rowOff>44455</xdr:rowOff>
    </xdr:from>
    <xdr:to>
      <xdr:col>2</xdr:col>
      <xdr:colOff>273814</xdr:colOff>
      <xdr:row>16</xdr:row>
      <xdr:rowOff>71257</xdr:rowOff>
    </xdr:to>
    <xdr:pic>
      <xdr:nvPicPr>
        <xdr:cNvPr id="25" name="Graphic 24">
          <a:extLst>
            <a:ext uri="{FF2B5EF4-FFF2-40B4-BE49-F238E27FC236}">
              <a16:creationId xmlns:a16="http://schemas.microsoft.com/office/drawing/2014/main" id="{E993AB14-4372-42D3-AFAB-41E63B750EF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66217" y="2862811"/>
          <a:ext cx="214693" cy="214693"/>
        </a:xfrm>
        <a:prstGeom prst="rect">
          <a:avLst/>
        </a:prstGeom>
      </xdr:spPr>
    </xdr:pic>
    <xdr:clientData/>
  </xdr:twoCellAnchor>
  <xdr:twoCellAnchor>
    <xdr:from>
      <xdr:col>2</xdr:col>
      <xdr:colOff>457200</xdr:colOff>
      <xdr:row>17</xdr:row>
      <xdr:rowOff>99060</xdr:rowOff>
    </xdr:from>
    <xdr:to>
      <xdr:col>3</xdr:col>
      <xdr:colOff>274320</xdr:colOff>
      <xdr:row>18</xdr:row>
      <xdr:rowOff>129540</xdr:rowOff>
    </xdr:to>
    <xdr:sp macro="" textlink="Pivots!A11">
      <xdr:nvSpPr>
        <xdr:cNvPr id="26" name="TextBox 25">
          <a:extLst>
            <a:ext uri="{FF2B5EF4-FFF2-40B4-BE49-F238E27FC236}">
              <a16:creationId xmlns:a16="http://schemas.microsoft.com/office/drawing/2014/main" id="{4A4F786C-1043-401D-A313-D487BC5BB31A}"/>
            </a:ext>
          </a:extLst>
        </xdr:cNvPr>
        <xdr:cNvSpPr txBox="1"/>
      </xdr:nvSpPr>
      <xdr:spPr>
        <a:xfrm>
          <a:off x="861060" y="3208020"/>
          <a:ext cx="4876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6705E9-7DF0-45DA-B030-EE7BFA9935CD}" type="TxLink">
            <a:rPr lang="en-US" sz="1100" b="0" i="0" u="none" strike="noStrike">
              <a:solidFill>
                <a:schemeClr val="accent2">
                  <a:lumMod val="20000"/>
                  <a:lumOff val="80000"/>
                </a:schemeClr>
              </a:solidFill>
              <a:latin typeface="Aptos"/>
            </a:rPr>
            <a:t>218</a:t>
          </a:fld>
          <a:endParaRPr lang="en-IN" sz="1100">
            <a:solidFill>
              <a:schemeClr val="accent2">
                <a:lumMod val="20000"/>
                <a:lumOff val="80000"/>
              </a:schemeClr>
            </a:solidFill>
          </a:endParaRPr>
        </a:p>
      </xdr:txBody>
    </xdr:sp>
    <xdr:clientData/>
  </xdr:twoCellAnchor>
  <xdr:twoCellAnchor>
    <xdr:from>
      <xdr:col>2</xdr:col>
      <xdr:colOff>0</xdr:colOff>
      <xdr:row>21</xdr:row>
      <xdr:rowOff>0</xdr:rowOff>
    </xdr:from>
    <xdr:to>
      <xdr:col>3</xdr:col>
      <xdr:colOff>655320</xdr:colOff>
      <xdr:row>24</xdr:row>
      <xdr:rowOff>160020</xdr:rowOff>
    </xdr:to>
    <xdr:sp macro="" textlink="Pivots!D4">
      <xdr:nvSpPr>
        <xdr:cNvPr id="27" name="Rectangle 26">
          <a:extLst>
            <a:ext uri="{FF2B5EF4-FFF2-40B4-BE49-F238E27FC236}">
              <a16:creationId xmlns:a16="http://schemas.microsoft.com/office/drawing/2014/main" id="{F7C7B215-64B0-45C6-A4B5-C2BA5649BF1A}"/>
            </a:ext>
          </a:extLst>
        </xdr:cNvPr>
        <xdr:cNvSpPr/>
      </xdr:nvSpPr>
      <xdr:spPr>
        <a:xfrm>
          <a:off x="403860" y="3840480"/>
          <a:ext cx="1325880" cy="708660"/>
        </a:xfrm>
        <a:prstGeom prst="rect">
          <a:avLst/>
        </a:prstGeom>
        <a:solidFill>
          <a:schemeClr val="accent2">
            <a:lumMod val="75000"/>
          </a:schemeClr>
        </a:solidFill>
        <a:ln>
          <a:noFill/>
        </a:ln>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377324-59E3-461F-BB7A-38C7272ED9B6}" type="TxLink">
            <a:rPr lang="en-US" sz="2400" b="0" i="0" u="none" strike="noStrike">
              <a:solidFill>
                <a:schemeClr val="bg2"/>
              </a:solidFill>
              <a:latin typeface="+mj-lt"/>
            </a:rPr>
            <a:pPr algn="ctr"/>
            <a:t>3.9</a:t>
          </a:fld>
          <a:endParaRPr lang="en-IN" sz="2400" b="0" i="0" u="none" strike="noStrike">
            <a:solidFill>
              <a:schemeClr val="bg2"/>
            </a:solidFill>
            <a:latin typeface="+mj-lt"/>
          </a:endParaRPr>
        </a:p>
      </xdr:txBody>
    </xdr:sp>
    <xdr:clientData/>
  </xdr:twoCellAnchor>
  <xdr:twoCellAnchor>
    <xdr:from>
      <xdr:col>2</xdr:col>
      <xdr:colOff>449580</xdr:colOff>
      <xdr:row>21</xdr:row>
      <xdr:rowOff>0</xdr:rowOff>
    </xdr:from>
    <xdr:to>
      <xdr:col>3</xdr:col>
      <xdr:colOff>358140</xdr:colOff>
      <xdr:row>22</xdr:row>
      <xdr:rowOff>15240</xdr:rowOff>
    </xdr:to>
    <xdr:sp macro="" textlink="">
      <xdr:nvSpPr>
        <xdr:cNvPr id="28" name="TextBox 27">
          <a:extLst>
            <a:ext uri="{FF2B5EF4-FFF2-40B4-BE49-F238E27FC236}">
              <a16:creationId xmlns:a16="http://schemas.microsoft.com/office/drawing/2014/main" id="{4E06D3A3-F6D2-4405-BD5B-7EF01BA1972E}"/>
            </a:ext>
          </a:extLst>
        </xdr:cNvPr>
        <xdr:cNvSpPr txBox="1"/>
      </xdr:nvSpPr>
      <xdr:spPr>
        <a:xfrm>
          <a:off x="853440" y="3840480"/>
          <a:ext cx="579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95000"/>
                </a:schemeClr>
              </a:solidFill>
              <a:latin typeface="+mj-lt"/>
            </a:rPr>
            <a:t>calls</a:t>
          </a:r>
        </a:p>
      </xdr:txBody>
    </xdr:sp>
    <xdr:clientData/>
  </xdr:twoCellAnchor>
  <xdr:twoCellAnchor editAs="oneCell">
    <xdr:from>
      <xdr:col>2</xdr:col>
      <xdr:colOff>59121</xdr:colOff>
      <xdr:row>21</xdr:row>
      <xdr:rowOff>44454</xdr:rowOff>
    </xdr:from>
    <xdr:to>
      <xdr:col>2</xdr:col>
      <xdr:colOff>380008</xdr:colOff>
      <xdr:row>22</xdr:row>
      <xdr:rowOff>177451</xdr:rowOff>
    </xdr:to>
    <xdr:pic>
      <xdr:nvPicPr>
        <xdr:cNvPr id="29" name="Graphic 28">
          <a:extLst>
            <a:ext uri="{FF2B5EF4-FFF2-40B4-BE49-F238E27FC236}">
              <a16:creationId xmlns:a16="http://schemas.microsoft.com/office/drawing/2014/main" id="{AC6DC871-92E6-4FE2-B1E7-2BD2843B170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66217" y="3990153"/>
          <a:ext cx="320887" cy="320887"/>
        </a:xfrm>
        <a:prstGeom prst="rect">
          <a:avLst/>
        </a:prstGeom>
      </xdr:spPr>
    </xdr:pic>
    <xdr:clientData/>
  </xdr:twoCellAnchor>
  <xdr:twoCellAnchor>
    <xdr:from>
      <xdr:col>2</xdr:col>
      <xdr:colOff>457200</xdr:colOff>
      <xdr:row>23</xdr:row>
      <xdr:rowOff>99060</xdr:rowOff>
    </xdr:from>
    <xdr:to>
      <xdr:col>3</xdr:col>
      <xdr:colOff>274320</xdr:colOff>
      <xdr:row>24</xdr:row>
      <xdr:rowOff>129540</xdr:rowOff>
    </xdr:to>
    <xdr:sp macro="" textlink="Pivots!A11">
      <xdr:nvSpPr>
        <xdr:cNvPr id="30" name="TextBox 29">
          <a:extLst>
            <a:ext uri="{FF2B5EF4-FFF2-40B4-BE49-F238E27FC236}">
              <a16:creationId xmlns:a16="http://schemas.microsoft.com/office/drawing/2014/main" id="{C8807D1A-CA9D-4673-B300-641379FFDB5C}"/>
            </a:ext>
          </a:extLst>
        </xdr:cNvPr>
        <xdr:cNvSpPr txBox="1"/>
      </xdr:nvSpPr>
      <xdr:spPr>
        <a:xfrm>
          <a:off x="861060" y="4305300"/>
          <a:ext cx="4876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6705E9-7DF0-45DA-B030-EE7BFA9935CD}" type="TxLink">
            <a:rPr lang="en-US" sz="1100" b="0" i="0" u="none" strike="noStrike">
              <a:solidFill>
                <a:schemeClr val="accent2">
                  <a:lumMod val="20000"/>
                  <a:lumOff val="80000"/>
                </a:schemeClr>
              </a:solidFill>
              <a:latin typeface="Aptos"/>
            </a:rPr>
            <a:t>218</a:t>
          </a:fld>
          <a:endParaRPr lang="en-IN" sz="1100">
            <a:solidFill>
              <a:schemeClr val="accent2">
                <a:lumMod val="20000"/>
                <a:lumOff val="80000"/>
              </a:schemeClr>
            </a:solidFill>
          </a:endParaRPr>
        </a:p>
      </xdr:txBody>
    </xdr:sp>
    <xdr:clientData/>
  </xdr:twoCellAnchor>
  <xdr:twoCellAnchor>
    <xdr:from>
      <xdr:col>2</xdr:col>
      <xdr:colOff>0</xdr:colOff>
      <xdr:row>27</xdr:row>
      <xdr:rowOff>0</xdr:rowOff>
    </xdr:from>
    <xdr:to>
      <xdr:col>3</xdr:col>
      <xdr:colOff>655320</xdr:colOff>
      <xdr:row>30</xdr:row>
      <xdr:rowOff>160020</xdr:rowOff>
    </xdr:to>
    <xdr:sp macro="" textlink="Pivots!E4">
      <xdr:nvSpPr>
        <xdr:cNvPr id="31" name="Rectangle 30">
          <a:extLst>
            <a:ext uri="{FF2B5EF4-FFF2-40B4-BE49-F238E27FC236}">
              <a16:creationId xmlns:a16="http://schemas.microsoft.com/office/drawing/2014/main" id="{D0856AF8-F4DA-4A84-989C-A2C1C14C4FBD}"/>
            </a:ext>
          </a:extLst>
        </xdr:cNvPr>
        <xdr:cNvSpPr/>
      </xdr:nvSpPr>
      <xdr:spPr>
        <a:xfrm>
          <a:off x="403860" y="4937760"/>
          <a:ext cx="1325880" cy="708660"/>
        </a:xfrm>
        <a:prstGeom prst="rect">
          <a:avLst/>
        </a:prstGeom>
        <a:solidFill>
          <a:schemeClr val="accent2">
            <a:lumMod val="75000"/>
          </a:schemeClr>
        </a:solidFill>
        <a:ln>
          <a:noFill/>
        </a:ln>
        <a:effectLst>
          <a:outerShdw blurRad="254000" dist="1270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3DEE62-4B04-446B-A8C6-580E7DDCE5DB}" type="TxLink">
            <a:rPr lang="en-US" sz="2400" b="0" i="0" u="none" strike="noStrike">
              <a:solidFill>
                <a:schemeClr val="bg2"/>
              </a:solidFill>
              <a:latin typeface="+mj-lt"/>
            </a:rPr>
            <a:pPr algn="ctr"/>
            <a:t>307</a:t>
          </a:fld>
          <a:endParaRPr lang="en-IN" sz="2400" b="0" i="0" u="none" strike="noStrike">
            <a:solidFill>
              <a:schemeClr val="bg2"/>
            </a:solidFill>
            <a:latin typeface="+mj-lt"/>
          </a:endParaRPr>
        </a:p>
      </xdr:txBody>
    </xdr:sp>
    <xdr:clientData/>
  </xdr:twoCellAnchor>
  <xdr:twoCellAnchor>
    <xdr:from>
      <xdr:col>2</xdr:col>
      <xdr:colOff>449580</xdr:colOff>
      <xdr:row>27</xdr:row>
      <xdr:rowOff>0</xdr:rowOff>
    </xdr:from>
    <xdr:to>
      <xdr:col>3</xdr:col>
      <xdr:colOff>358140</xdr:colOff>
      <xdr:row>28</xdr:row>
      <xdr:rowOff>15240</xdr:rowOff>
    </xdr:to>
    <xdr:sp macro="" textlink="">
      <xdr:nvSpPr>
        <xdr:cNvPr id="32" name="TextBox 31">
          <a:extLst>
            <a:ext uri="{FF2B5EF4-FFF2-40B4-BE49-F238E27FC236}">
              <a16:creationId xmlns:a16="http://schemas.microsoft.com/office/drawing/2014/main" id="{33882AC2-1A0F-42C9-BAA0-6B7EB7AE547F}"/>
            </a:ext>
          </a:extLst>
        </xdr:cNvPr>
        <xdr:cNvSpPr txBox="1"/>
      </xdr:nvSpPr>
      <xdr:spPr>
        <a:xfrm>
          <a:off x="853440" y="4937760"/>
          <a:ext cx="5791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n>
                <a:noFill/>
              </a:ln>
              <a:solidFill>
                <a:schemeClr val="bg1">
                  <a:lumMod val="95000"/>
                </a:schemeClr>
              </a:solidFill>
              <a:latin typeface="+mj-lt"/>
            </a:rPr>
            <a:t>calls</a:t>
          </a:r>
        </a:p>
      </xdr:txBody>
    </xdr:sp>
    <xdr:clientData/>
  </xdr:twoCellAnchor>
  <xdr:twoCellAnchor editAs="oneCell">
    <xdr:from>
      <xdr:col>2</xdr:col>
      <xdr:colOff>59121</xdr:colOff>
      <xdr:row>27</xdr:row>
      <xdr:rowOff>44455</xdr:rowOff>
    </xdr:from>
    <xdr:to>
      <xdr:col>2</xdr:col>
      <xdr:colOff>317378</xdr:colOff>
      <xdr:row>28</xdr:row>
      <xdr:rowOff>114821</xdr:rowOff>
    </xdr:to>
    <xdr:pic>
      <xdr:nvPicPr>
        <xdr:cNvPr id="33" name="Graphic 32">
          <a:extLst>
            <a:ext uri="{FF2B5EF4-FFF2-40B4-BE49-F238E27FC236}">
              <a16:creationId xmlns:a16="http://schemas.microsoft.com/office/drawing/2014/main" id="{40A4836A-FD43-4E98-947A-E61F5B4DCD2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66217" y="5117496"/>
          <a:ext cx="258257" cy="258257"/>
        </a:xfrm>
        <a:prstGeom prst="rect">
          <a:avLst/>
        </a:prstGeom>
      </xdr:spPr>
    </xdr:pic>
    <xdr:clientData/>
  </xdr:twoCellAnchor>
  <xdr:twoCellAnchor editAs="oneCell">
    <xdr:from>
      <xdr:col>12</xdr:col>
      <xdr:colOff>388360</xdr:colOff>
      <xdr:row>20</xdr:row>
      <xdr:rowOff>132080</xdr:rowOff>
    </xdr:from>
    <xdr:to>
      <xdr:col>14</xdr:col>
      <xdr:colOff>406400</xdr:colOff>
      <xdr:row>31</xdr:row>
      <xdr:rowOff>50801</xdr:rowOff>
    </xdr:to>
    <mc:AlternateContent xmlns:mc="http://schemas.openxmlformats.org/markup-compatibility/2006">
      <mc:Choice xmlns:a14="http://schemas.microsoft.com/office/drawing/2010/main" Requires="a14">
        <xdr:graphicFrame macro="">
          <xdr:nvGraphicFramePr>
            <xdr:cNvPr id="35" name="Representative">
              <a:extLst>
                <a:ext uri="{FF2B5EF4-FFF2-40B4-BE49-F238E27FC236}">
                  <a16:creationId xmlns:a16="http://schemas.microsoft.com/office/drawing/2014/main" id="{03B03528-8DEF-4AF7-A6C7-8D122A8FF395}"/>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545373" y="4009599"/>
              <a:ext cx="1368419" cy="1934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29</xdr:row>
      <xdr:rowOff>99060</xdr:rowOff>
    </xdr:from>
    <xdr:to>
      <xdr:col>3</xdr:col>
      <xdr:colOff>274320</xdr:colOff>
      <xdr:row>30</xdr:row>
      <xdr:rowOff>129540</xdr:rowOff>
    </xdr:to>
    <xdr:sp macro="" textlink="Pivots!A11">
      <xdr:nvSpPr>
        <xdr:cNvPr id="34" name="TextBox 33">
          <a:extLst>
            <a:ext uri="{FF2B5EF4-FFF2-40B4-BE49-F238E27FC236}">
              <a16:creationId xmlns:a16="http://schemas.microsoft.com/office/drawing/2014/main" id="{C01C80A1-D637-4B81-ACC1-57699E06AFFB}"/>
            </a:ext>
          </a:extLst>
        </xdr:cNvPr>
        <xdr:cNvSpPr txBox="1"/>
      </xdr:nvSpPr>
      <xdr:spPr>
        <a:xfrm>
          <a:off x="861060" y="5402580"/>
          <a:ext cx="4876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6705E9-7DF0-45DA-B030-EE7BFA9935CD}" type="TxLink">
            <a:rPr lang="en-US" sz="1100" b="0" i="0" u="none" strike="noStrike">
              <a:solidFill>
                <a:schemeClr val="accent2">
                  <a:lumMod val="20000"/>
                  <a:lumOff val="80000"/>
                </a:schemeClr>
              </a:solidFill>
              <a:latin typeface="Aptos"/>
            </a:rPr>
            <a:t>218</a:t>
          </a:fld>
          <a:endParaRPr lang="en-IN" sz="1100">
            <a:solidFill>
              <a:schemeClr val="accent2">
                <a:lumMod val="20000"/>
                <a:lumOff val="80000"/>
              </a:schemeClr>
            </a:solidFill>
          </a:endParaRPr>
        </a:p>
      </xdr:txBody>
    </xdr:sp>
    <xdr:clientData/>
  </xdr:twoCellAnchor>
  <xdr:twoCellAnchor>
    <xdr:from>
      <xdr:col>11</xdr:col>
      <xdr:colOff>664307</xdr:colOff>
      <xdr:row>4</xdr:row>
      <xdr:rowOff>175847</xdr:rowOff>
    </xdr:from>
    <xdr:to>
      <xdr:col>14</xdr:col>
      <xdr:colOff>634999</xdr:colOff>
      <xdr:row>15</xdr:row>
      <xdr:rowOff>87923</xdr:rowOff>
    </xdr:to>
    <xdr:graphicFrame macro="">
      <xdr:nvGraphicFramePr>
        <xdr:cNvPr id="37" name="Chart 36">
          <a:extLst>
            <a:ext uri="{FF2B5EF4-FFF2-40B4-BE49-F238E27FC236}">
              <a16:creationId xmlns:a16="http://schemas.microsoft.com/office/drawing/2014/main" id="{E4DA2D86-C1F8-4DB5-B606-4EB0CE802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400540</xdr:colOff>
      <xdr:row>3</xdr:row>
      <xdr:rowOff>31262</xdr:rowOff>
    </xdr:from>
    <xdr:to>
      <xdr:col>12</xdr:col>
      <xdr:colOff>0</xdr:colOff>
      <xdr:row>18</xdr:row>
      <xdr:rowOff>0</xdr:rowOff>
    </xdr:to>
    <xdr:graphicFrame macro="">
      <xdr:nvGraphicFramePr>
        <xdr:cNvPr id="36" name="Chart 35">
          <a:extLst>
            <a:ext uri="{FF2B5EF4-FFF2-40B4-BE49-F238E27FC236}">
              <a16:creationId xmlns:a16="http://schemas.microsoft.com/office/drawing/2014/main" id="{C40FB877-110E-498D-BE10-27458B6BF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400539</xdr:colOff>
      <xdr:row>19</xdr:row>
      <xdr:rowOff>127001</xdr:rowOff>
    </xdr:from>
    <xdr:to>
      <xdr:col>8</xdr:col>
      <xdr:colOff>481721</xdr:colOff>
      <xdr:row>34</xdr:row>
      <xdr:rowOff>66920</xdr:rowOff>
    </xdr:to>
    <xdr:graphicFrame macro="">
      <xdr:nvGraphicFramePr>
        <xdr:cNvPr id="38" name="Chart 37">
          <a:extLst>
            <a:ext uri="{FF2B5EF4-FFF2-40B4-BE49-F238E27FC236}">
              <a16:creationId xmlns:a16="http://schemas.microsoft.com/office/drawing/2014/main" id="{30DB6C22-ED4D-4B12-A80F-48A44B906A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365663</xdr:colOff>
      <xdr:row>19</xdr:row>
      <xdr:rowOff>121042</xdr:rowOff>
    </xdr:from>
    <xdr:to>
      <xdr:col>12</xdr:col>
      <xdr:colOff>446845</xdr:colOff>
      <xdr:row>34</xdr:row>
      <xdr:rowOff>11431</xdr:rowOff>
    </xdr:to>
    <xdr:graphicFrame macro="">
      <xdr:nvGraphicFramePr>
        <xdr:cNvPr id="39" name="Chart 38">
          <a:extLst>
            <a:ext uri="{FF2B5EF4-FFF2-40B4-BE49-F238E27FC236}">
              <a16:creationId xmlns:a16="http://schemas.microsoft.com/office/drawing/2014/main" id="{DB910DF9-9A01-4104-A988-E14D6D088C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420077</xdr:colOff>
      <xdr:row>19</xdr:row>
      <xdr:rowOff>97693</xdr:rowOff>
    </xdr:from>
    <xdr:to>
      <xdr:col>12</xdr:col>
      <xdr:colOff>439615</xdr:colOff>
      <xdr:row>34</xdr:row>
      <xdr:rowOff>19539</xdr:rowOff>
    </xdr:to>
    <xdr:sp macro="" textlink="">
      <xdr:nvSpPr>
        <xdr:cNvPr id="40" name="Rectangle 39">
          <a:extLst>
            <a:ext uri="{FF2B5EF4-FFF2-40B4-BE49-F238E27FC236}">
              <a16:creationId xmlns:a16="http://schemas.microsoft.com/office/drawing/2014/main" id="{7A09E4E5-BD6A-2EB0-18CF-926A2C737E4D}"/>
            </a:ext>
          </a:extLst>
        </xdr:cNvPr>
        <xdr:cNvSpPr/>
      </xdr:nvSpPr>
      <xdr:spPr>
        <a:xfrm>
          <a:off x="2168769" y="3624385"/>
          <a:ext cx="5412154" cy="270607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223520</xdr:colOff>
      <xdr:row>2</xdr:row>
      <xdr:rowOff>105508</xdr:rowOff>
    </xdr:from>
    <xdr:to>
      <xdr:col>19</xdr:col>
      <xdr:colOff>187569</xdr:colOff>
      <xdr:row>18</xdr:row>
      <xdr:rowOff>50800</xdr:rowOff>
    </xdr:to>
    <xdr:graphicFrame macro="">
      <xdr:nvGraphicFramePr>
        <xdr:cNvPr id="41" name="Chart 40">
          <a:extLst>
            <a:ext uri="{FF2B5EF4-FFF2-40B4-BE49-F238E27FC236}">
              <a16:creationId xmlns:a16="http://schemas.microsoft.com/office/drawing/2014/main" id="{57829303-463E-4A03-B6E6-BD10877FA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264942</xdr:colOff>
      <xdr:row>2</xdr:row>
      <xdr:rowOff>115746</xdr:rowOff>
    </xdr:from>
    <xdr:to>
      <xdr:col>23</xdr:col>
      <xdr:colOff>196166</xdr:colOff>
      <xdr:row>18</xdr:row>
      <xdr:rowOff>46892</xdr:rowOff>
    </xdr:to>
    <xdr:graphicFrame macro="">
      <xdr:nvGraphicFramePr>
        <xdr:cNvPr id="42" name="Chart 41">
          <a:extLst>
            <a:ext uri="{FF2B5EF4-FFF2-40B4-BE49-F238E27FC236}">
              <a16:creationId xmlns:a16="http://schemas.microsoft.com/office/drawing/2014/main" id="{B7EBD396-7007-437D-9413-2C652D654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78680347222" backgroundQuery="1" createdVersion="8" refreshedVersion="8" minRefreshableVersion="3" recordCount="0" supportSubquery="1" supportAdvancedDrill="1" xr:uid="{98098E45-92C9-4120-BA22-2D4A8F45EECB}">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786816898151" backgroundQuery="1" createdVersion="8" refreshedVersion="8" minRefreshableVersion="3" recordCount="0" supportSubquery="1" supportAdvancedDrill="1" xr:uid="{66863FA1-1D4D-4889-9940-B38B531847E8}">
  <cacheSource type="external" connectionId="1"/>
  <cacheFields count="5">
    <cacheField name="[Measures].[Call counter]" caption="Call counter"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786818749999" backgroundQuery="1" createdVersion="8" refreshedVersion="8" minRefreshableVersion="3" recordCount="0" supportSubquery="1" supportAdvancedDrill="1" xr:uid="{548F8492-8CEC-474C-A1B5-3859DED103C2}">
  <cacheSource type="external" connectionId="1"/>
  <cacheFields count="3">
    <cacheField name="[calls].[Representative].[Representative]" caption="Representative" numFmtId="0" hierarchy="3" level="1">
      <sharedItems count="5">
        <s v="R01"/>
        <s v="R02"/>
        <s v="R03"/>
        <s v="R04"/>
        <s v="R05"/>
      </sharedItems>
    </cacheField>
    <cacheField name="[Measures].[Call counter]" caption="Call counter"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786820370369" backgroundQuery="1" createdVersion="8" refreshedVersion="8" minRefreshableVersion="3" recordCount="0" supportSubquery="1" supportAdvancedDrill="1" xr:uid="{8CA0058A-A7F4-4D76-9832-BCB47A1269A4}">
  <cacheSource type="external" connectionId="1"/>
  <cacheFields count="3">
    <cacheField name="[customers].[City].[City]" caption="City" numFmtId="0" hierarchy="15" level="1">
      <sharedItems count="3">
        <s v="Cincinnati"/>
        <s v="Cleveland"/>
        <s v="Columbus"/>
      </sharedItems>
    </cacheField>
    <cacheField name="[Measures].[Call counter]" caption="Call counter" numFmtId="0" hierarchy="17" level="32767"/>
    <cacheField name="[customers].[Gedner].[Gedner]" caption="Gedner" numFmtId="0" hierarchy="13" level="1">
      <sharedItems count="2">
        <s v="Female"/>
        <s v="Male"/>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829551041665" backgroundQuery="1" createdVersion="8" refreshedVersion="8" minRefreshableVersion="3" recordCount="0" supportSubquery="1" supportAdvancedDrill="1" xr:uid="{C38797CA-9805-481D-9724-2194F2845BB9}">
  <cacheSource type="external" connectionId="1"/>
  <cacheFields count="6">
    <cacheField name="[Measures].[Call counter]" caption="Call counter"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829551620373" backgroundQuery="1" createdVersion="8" refreshedVersion="8" minRefreshableVersion="3" recordCount="0" supportSubquery="1" supportAdvancedDrill="1" xr:uid="{F484AFB4-C4AD-4BF9-8619-3241E078677B}">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er]" caption="Call counter"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829552199073" backgroundQuery="1" createdVersion="8" refreshedVersion="8" minRefreshableVersion="3" recordCount="0" supportSubquery="1" supportAdvancedDrill="1" xr:uid="{19B8BB83-3CBB-458B-A81D-64995B5C559B}">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er]" caption="Call counter"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829552546296" backgroundQuery="1" createdVersion="8" refreshedVersion="8" minRefreshableVersion="3" recordCount="0" supportSubquery="1" supportAdvancedDrill="1" xr:uid="{7110B194-E96A-4622-9869-650195D7E77E}">
  <cacheSource type="external" connectionId="1"/>
  <cacheFields count="1">
    <cacheField name="[calls].[Representative].[Representative]" caption="Representative" numFmtId="0" hierarchy="3" level="1">
      <sharedItems count="1">
        <s v="R02"/>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82955289352" backgroundQuery="1" createdVersion="8" refreshedVersion="8" minRefreshableVersion="3" recordCount="0" supportSubquery="1" supportAdvancedDrill="1" xr:uid="{7DC175A8-0F3F-4B94-B51B-A7934B0E4E3C}">
  <cacheSource type="external" connectionId="1"/>
  <cacheFields count="3">
    <cacheField name="[Measures].[Call counter]" caption="Call counter"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vind Sai" refreshedDate="46119.78680509259" backgroundQuery="1" createdVersion="3" refreshedVersion="8" minRefreshableVersion="3" recordCount="0" supportSubquery="1" supportAdvancedDrill="1" xr:uid="{1D851E05-E0C8-461E-BEF3-812872EC1AD5}">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er]" caption="Call counter"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extLst>
    <ext xmlns:x14="http://schemas.microsoft.com/office/spreadsheetml/2009/9/main" uri="{725AE2AE-9491-48be-B2B4-4EB974FC3084}">
      <x14:pivotCacheDefinition slicerData="1" pivotCacheId="144743117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9FE19-F781-49EF-966A-471ACC55498B}" name="PivotTable11" cacheId="5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8">
  <location ref="F72:L92"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3"/>
  </colFields>
  <colItems count="6">
    <i>
      <x/>
    </i>
    <i>
      <x v="1"/>
    </i>
    <i>
      <x v="2"/>
    </i>
    <i>
      <x v="3"/>
    </i>
    <i>
      <x v="4"/>
    </i>
    <i t="grand">
      <x/>
    </i>
  </colItems>
  <dataFields count="1">
    <dataField fld="2"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D6B651-DF60-4BCC-BE0D-FAF47AB504D8}" name="Rep satisfaction" cacheId="5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F61:G6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5"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0FE9FD-37D3-43E9-8E2C-4A823FF4B179}" name="PivotTable9" cacheId="5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48:I53"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4">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 chart="5" format="6">
      <pivotArea type="data" outline="0" fieldPosition="0">
        <references count="3">
          <reference field="4294967294" count="1" selected="0">
            <x v="0"/>
          </reference>
          <reference field="0" count="1" selected="0">
            <x v="0"/>
          </reference>
          <reference field="2" count="1" selected="0">
            <x v="1"/>
          </reference>
        </references>
      </pivotArea>
    </chartFormat>
    <chartFormat chart="5" format="7">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3DFD9-D5F3-4AA6-B3A2-DDC972383CB7}" name="Selected Rep" cacheId="5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54:D5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1">
    <format dxfId="2">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4B5F56-D772-46CA-B14E-712A25284A2D}" name="PivotTable7" cacheId="5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C45"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2E7964-2AC4-443E-9AAA-5B32E67C0177}" name="weekday pivot" cacheId="5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H23:I31"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8">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1" count="1" selected="0">
            <x v="6"/>
          </reference>
        </references>
      </pivotArea>
    </chartFormat>
    <chartFormat chart="31" format="4">
      <pivotArea type="data" outline="0" fieldPosition="0">
        <references count="2">
          <reference field="4294967294" count="1" selected="0">
            <x v="0"/>
          </reference>
          <reference field="1" count="1" selected="0">
            <x v="5"/>
          </reference>
        </references>
      </pivotArea>
    </chartFormat>
    <chartFormat chart="31" format="5">
      <pivotArea type="data" outline="0" fieldPosition="0">
        <references count="2">
          <reference field="4294967294" count="1" selected="0">
            <x v="0"/>
          </reference>
          <reference field="1" count="1" selected="0">
            <x v="4"/>
          </reference>
        </references>
      </pivotArea>
    </chartFormat>
    <chartFormat chart="31" format="6">
      <pivotArea type="data" outline="0" fieldPosition="0">
        <references count="2">
          <reference field="4294967294" count="1" selected="0">
            <x v="0"/>
          </reference>
          <reference field="1" count="1" selected="0">
            <x v="3"/>
          </reference>
        </references>
      </pivotArea>
    </chartFormat>
    <chartFormat chart="31" format="7">
      <pivotArea type="data" outline="0" fieldPosition="0">
        <references count="2">
          <reference field="4294967294" count="1" selected="0">
            <x v="0"/>
          </reference>
          <reference field="1" count="1" selected="0">
            <x v="2"/>
          </reference>
        </references>
      </pivotArea>
    </chartFormat>
    <chartFormat chart="31" format="8">
      <pivotArea type="data" outline="0" fieldPosition="0">
        <references count="2">
          <reference field="4294967294" count="1" selected="0">
            <x v="0"/>
          </reference>
          <reference field="1" count="1" selected="0">
            <x v="1"/>
          </reference>
        </references>
      </pivotArea>
    </chartFormat>
    <chartFormat chart="31" format="9">
      <pivotArea type="data" outline="0" fieldPosition="0">
        <references count="2">
          <reference field="4294967294" count="1" selected="0">
            <x v="0"/>
          </reference>
          <reference field="1"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892D80-DF13-4AFD-9D53-D61949B928BD}" name="Month" cacheId="5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1:C3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er2" fld="4" subtotal="count" baseField="0" baseItem="0">
      <extLst>
        <ext xmlns:x14="http://schemas.microsoft.com/office/spreadsheetml/2009/9/main" uri="{E15A36E0-9728-4e99-A89B-3F7291B0FE68}">
          <x14:dataField sourceField="3" uniqueName="[__Xl2].[Measures].[Call counter]"/>
        </ext>
      </extLst>
    </dataField>
  </dataFields>
  <chartFormats count="2">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EA0A74-12D6-4241-8AD9-6078A6B4741A}" name="Rep pivot" cacheId="56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FEA1EB-354C-4B28-A7EF-899475599478}" name="Summary Pivot" cacheId="55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1D8875F-A0CA-4145-BFE0-EC32DB22F8DB}" sourceName="[calls].[Representative]">
  <pivotTables>
    <pivotTable tabId="5" name="Rep pivot"/>
    <pivotTable tabId="5" name="Month"/>
    <pivotTable tabId="5" name="weekday pivot"/>
    <pivotTable tabId="5" name="Selected Rep"/>
    <pivotTable tabId="5" name="Rep satisfaction"/>
  </pivotTables>
  <data>
    <olap pivotCacheId="1447431172">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7D2474A5-C35E-4F57-BAE1-C78D5E8F1AE5}" cache="Slicer_Representative" caption="Representative" level="1" style="SlicerStyleDark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dn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6954-397E-4C65-939C-BC2EEFBFE7FF}">
  <dimension ref="A2:L92"/>
  <sheetViews>
    <sheetView topLeftCell="F67" workbookViewId="0">
      <selection activeCell="F72" sqref="F72:L91"/>
    </sheetView>
  </sheetViews>
  <sheetFormatPr defaultRowHeight="14.4" x14ac:dyDescent="0.3"/>
  <cols>
    <col min="1" max="1" width="12.19921875" bestFit="1" customWidth="1"/>
    <col min="2" max="2" width="10.8984375" bestFit="1" customWidth="1"/>
    <col min="3" max="3" width="11.8984375" bestFit="1" customWidth="1"/>
    <col min="4" max="4" width="12.19921875" bestFit="1" customWidth="1"/>
    <col min="5" max="5" width="7.296875" bestFit="1" customWidth="1"/>
    <col min="6" max="6" width="12.19921875" bestFit="1" customWidth="1"/>
    <col min="7" max="7" width="10.8984375" bestFit="1" customWidth="1"/>
    <col min="8" max="8" width="12.19921875" bestFit="1" customWidth="1"/>
    <col min="9" max="9" width="10.8984375" bestFit="1" customWidth="1"/>
    <col min="10" max="11" width="7.3984375" bestFit="1" customWidth="1"/>
    <col min="12" max="12" width="10.3984375" bestFit="1" customWidth="1"/>
  </cols>
  <sheetData>
    <row r="2" spans="1:5" ht="15" customHeight="1" x14ac:dyDescent="0.3"/>
    <row r="3" spans="1:5" x14ac:dyDescent="0.3">
      <c r="A3" t="s">
        <v>1042</v>
      </c>
      <c r="B3" t="s">
        <v>1043</v>
      </c>
      <c r="C3" t="s">
        <v>1044</v>
      </c>
      <c r="D3" t="s">
        <v>1045</v>
      </c>
      <c r="E3" t="s">
        <v>1046</v>
      </c>
    </row>
    <row r="4" spans="1:5" x14ac:dyDescent="0.3">
      <c r="A4" s="21">
        <v>1000</v>
      </c>
      <c r="B4" s="22">
        <v>96623</v>
      </c>
      <c r="C4" s="23">
        <v>89850</v>
      </c>
      <c r="D4" s="24">
        <v>3.8854000000000033</v>
      </c>
      <c r="E4" s="21">
        <v>307</v>
      </c>
    </row>
    <row r="10" spans="1:5" x14ac:dyDescent="0.3">
      <c r="A10" t="s">
        <v>1042</v>
      </c>
      <c r="B10" t="s">
        <v>1043</v>
      </c>
      <c r="C10" t="s">
        <v>1044</v>
      </c>
      <c r="D10" t="s">
        <v>1045</v>
      </c>
      <c r="E10" t="s">
        <v>1046</v>
      </c>
    </row>
    <row r="11" spans="1:5" x14ac:dyDescent="0.3">
      <c r="A11" s="21">
        <v>218</v>
      </c>
      <c r="B11" s="22">
        <v>20581</v>
      </c>
      <c r="C11" s="23">
        <v>19300</v>
      </c>
      <c r="D11" s="24">
        <v>3.8706422018348627</v>
      </c>
      <c r="E11" s="21">
        <v>74</v>
      </c>
    </row>
    <row r="19" spans="1:9" x14ac:dyDescent="0.3">
      <c r="A19" s="14"/>
    </row>
    <row r="21" spans="1:9" x14ac:dyDescent="0.3">
      <c r="A21" s="25" t="s">
        <v>1047</v>
      </c>
      <c r="B21" t="s">
        <v>1042</v>
      </c>
      <c r="C21" t="s">
        <v>1068</v>
      </c>
    </row>
    <row r="22" spans="1:9" x14ac:dyDescent="0.3">
      <c r="A22" s="27" t="s">
        <v>1056</v>
      </c>
      <c r="B22" s="21">
        <v>19</v>
      </c>
      <c r="C22" s="21">
        <v>19</v>
      </c>
    </row>
    <row r="23" spans="1:9" x14ac:dyDescent="0.3">
      <c r="A23" s="27" t="s">
        <v>1057</v>
      </c>
      <c r="B23" s="21">
        <v>10</v>
      </c>
      <c r="C23" s="21">
        <v>10</v>
      </c>
      <c r="H23" s="25" t="s">
        <v>1047</v>
      </c>
      <c r="I23" t="s">
        <v>1042</v>
      </c>
    </row>
    <row r="24" spans="1:9" x14ac:dyDescent="0.3">
      <c r="A24" s="27" t="s">
        <v>1058</v>
      </c>
      <c r="B24" s="21">
        <v>40</v>
      </c>
      <c r="C24" s="21">
        <v>40</v>
      </c>
      <c r="H24" s="27" t="s">
        <v>1051</v>
      </c>
      <c r="I24" s="21">
        <v>28</v>
      </c>
    </row>
    <row r="25" spans="1:9" x14ac:dyDescent="0.3">
      <c r="A25" s="27" t="s">
        <v>1059</v>
      </c>
      <c r="B25" s="21">
        <v>40</v>
      </c>
      <c r="C25" s="21">
        <v>40</v>
      </c>
      <c r="H25" s="27" t="s">
        <v>1049</v>
      </c>
      <c r="I25" s="21">
        <v>24</v>
      </c>
    </row>
    <row r="26" spans="1:9" x14ac:dyDescent="0.3">
      <c r="A26" s="27" t="s">
        <v>1060</v>
      </c>
      <c r="B26" s="21">
        <v>13</v>
      </c>
      <c r="C26" s="21">
        <v>13</v>
      </c>
      <c r="H26" s="27" t="s">
        <v>1053</v>
      </c>
      <c r="I26" s="21">
        <v>44</v>
      </c>
    </row>
    <row r="27" spans="1:9" x14ac:dyDescent="0.3">
      <c r="A27" s="27" t="s">
        <v>1061</v>
      </c>
      <c r="B27" s="21">
        <v>12</v>
      </c>
      <c r="C27" s="21">
        <v>12</v>
      </c>
      <c r="H27" s="27" t="s">
        <v>1054</v>
      </c>
      <c r="I27" s="21">
        <v>36</v>
      </c>
    </row>
    <row r="28" spans="1:9" x14ac:dyDescent="0.3">
      <c r="A28" s="27" t="s">
        <v>1062</v>
      </c>
      <c r="B28" s="21">
        <v>9</v>
      </c>
      <c r="C28" s="21">
        <v>9</v>
      </c>
      <c r="H28" s="27" t="s">
        <v>1052</v>
      </c>
      <c r="I28" s="21">
        <v>33</v>
      </c>
    </row>
    <row r="29" spans="1:9" x14ac:dyDescent="0.3">
      <c r="A29" s="27" t="s">
        <v>1063</v>
      </c>
      <c r="B29" s="21">
        <v>13</v>
      </c>
      <c r="C29" s="21">
        <v>13</v>
      </c>
      <c r="H29" s="27" t="s">
        <v>1048</v>
      </c>
      <c r="I29" s="21">
        <v>29</v>
      </c>
    </row>
    <row r="30" spans="1:9" x14ac:dyDescent="0.3">
      <c r="A30" s="27" t="s">
        <v>1064</v>
      </c>
      <c r="B30" s="21">
        <v>18</v>
      </c>
      <c r="C30" s="21">
        <v>18</v>
      </c>
      <c r="H30" s="27" t="s">
        <v>1050</v>
      </c>
      <c r="I30" s="21">
        <v>24</v>
      </c>
    </row>
    <row r="31" spans="1:9" x14ac:dyDescent="0.3">
      <c r="A31" s="27" t="s">
        <v>1065</v>
      </c>
      <c r="B31" s="21">
        <v>21</v>
      </c>
      <c r="C31" s="21">
        <v>21</v>
      </c>
      <c r="H31" s="27" t="s">
        <v>1055</v>
      </c>
      <c r="I31" s="21">
        <v>218</v>
      </c>
    </row>
    <row r="32" spans="1:9" x14ac:dyDescent="0.3">
      <c r="A32" s="27" t="s">
        <v>1066</v>
      </c>
      <c r="B32" s="21">
        <v>14</v>
      </c>
      <c r="C32" s="21">
        <v>14</v>
      </c>
    </row>
    <row r="33" spans="1:10" x14ac:dyDescent="0.3">
      <c r="A33" s="27" t="s">
        <v>1067</v>
      </c>
      <c r="B33" s="21">
        <v>9</v>
      </c>
      <c r="C33" s="21">
        <v>9</v>
      </c>
    </row>
    <row r="34" spans="1:10" x14ac:dyDescent="0.3">
      <c r="A34" s="27" t="s">
        <v>1055</v>
      </c>
      <c r="B34" s="21">
        <v>218</v>
      </c>
      <c r="C34" s="21">
        <v>218</v>
      </c>
    </row>
    <row r="35" spans="1:10" x14ac:dyDescent="0.3">
      <c r="F35" t="s">
        <v>1069</v>
      </c>
      <c r="I35" t="s">
        <v>1075</v>
      </c>
      <c r="J35" t="str">
        <f>D55</f>
        <v>R02</v>
      </c>
    </row>
    <row r="38" spans="1:10" x14ac:dyDescent="0.3">
      <c r="F38" t="s">
        <v>1070</v>
      </c>
      <c r="G38" t="s">
        <v>1071</v>
      </c>
      <c r="H38" s="28" t="s">
        <v>1072</v>
      </c>
      <c r="I38" t="s">
        <v>1073</v>
      </c>
      <c r="J38" t="s">
        <v>1074</v>
      </c>
    </row>
    <row r="39" spans="1:10" x14ac:dyDescent="0.3">
      <c r="A39" s="25" t="s">
        <v>1047</v>
      </c>
      <c r="B39" t="s">
        <v>1042</v>
      </c>
      <c r="C39" t="s">
        <v>1043</v>
      </c>
      <c r="F39" s="27" t="s">
        <v>11</v>
      </c>
      <c r="G39" s="21">
        <v>189</v>
      </c>
      <c r="H39" s="28">
        <v>18415</v>
      </c>
      <c r="I39" t="e">
        <f>IF(F39=$J$35,G39,NA())</f>
        <v>#N/A</v>
      </c>
      <c r="J39" t="e">
        <f>IF(F39=$J$35,H39,NA())</f>
        <v>#N/A</v>
      </c>
    </row>
    <row r="40" spans="1:10" x14ac:dyDescent="0.3">
      <c r="A40" s="27" t="s">
        <v>11</v>
      </c>
      <c r="B40" s="21">
        <v>189</v>
      </c>
      <c r="C40" s="22">
        <v>18415</v>
      </c>
      <c r="F40" s="27" t="s">
        <v>9</v>
      </c>
      <c r="G40" s="21">
        <v>218</v>
      </c>
      <c r="H40" s="28">
        <v>20581</v>
      </c>
      <c r="I40">
        <f t="shared" ref="I40:I43" si="0">IF(F40=$J$35,G40,NA())</f>
        <v>218</v>
      </c>
      <c r="J40">
        <f t="shared" ref="J40:J43" si="1">IF(F40=$J$35,H40,NA())</f>
        <v>20581</v>
      </c>
    </row>
    <row r="41" spans="1:10" x14ac:dyDescent="0.3">
      <c r="A41" s="27" t="s">
        <v>9</v>
      </c>
      <c r="B41" s="21">
        <v>218</v>
      </c>
      <c r="C41" s="22">
        <v>20581</v>
      </c>
      <c r="F41" s="27" t="s">
        <v>6</v>
      </c>
      <c r="G41" s="21">
        <v>207</v>
      </c>
      <c r="H41" s="28">
        <v>20872</v>
      </c>
      <c r="I41" t="e">
        <f t="shared" si="0"/>
        <v>#N/A</v>
      </c>
      <c r="J41" t="e">
        <f t="shared" si="1"/>
        <v>#N/A</v>
      </c>
    </row>
    <row r="42" spans="1:10" x14ac:dyDescent="0.3">
      <c r="A42" s="27" t="s">
        <v>6</v>
      </c>
      <c r="B42" s="21">
        <v>207</v>
      </c>
      <c r="C42" s="22">
        <v>20872</v>
      </c>
      <c r="F42" s="27" t="s">
        <v>13</v>
      </c>
      <c r="G42" s="21">
        <v>186</v>
      </c>
      <c r="H42" s="28">
        <v>16651</v>
      </c>
      <c r="I42" t="e">
        <f t="shared" si="0"/>
        <v>#N/A</v>
      </c>
      <c r="J42" t="e">
        <f t="shared" si="1"/>
        <v>#N/A</v>
      </c>
    </row>
    <row r="43" spans="1:10" x14ac:dyDescent="0.3">
      <c r="A43" s="27" t="s">
        <v>13</v>
      </c>
      <c r="B43" s="21">
        <v>186</v>
      </c>
      <c r="C43" s="22">
        <v>16651</v>
      </c>
      <c r="F43" s="27" t="s">
        <v>10</v>
      </c>
      <c r="G43" s="21">
        <v>200</v>
      </c>
      <c r="H43" s="28">
        <v>20104</v>
      </c>
      <c r="I43" t="e">
        <f t="shared" si="0"/>
        <v>#N/A</v>
      </c>
      <c r="J43" t="e">
        <f t="shared" si="1"/>
        <v>#N/A</v>
      </c>
    </row>
    <row r="44" spans="1:10" x14ac:dyDescent="0.3">
      <c r="A44" s="27" t="s">
        <v>10</v>
      </c>
      <c r="B44" s="21">
        <v>200</v>
      </c>
      <c r="C44" s="22">
        <v>20104</v>
      </c>
    </row>
    <row r="45" spans="1:10" x14ac:dyDescent="0.3">
      <c r="A45" s="27" t="s">
        <v>1055</v>
      </c>
      <c r="B45" s="21">
        <v>1000</v>
      </c>
      <c r="C45" s="22">
        <v>96623</v>
      </c>
    </row>
    <row r="48" spans="1:10" x14ac:dyDescent="0.3">
      <c r="F48" s="25" t="s">
        <v>1042</v>
      </c>
      <c r="G48" s="25" t="s">
        <v>1076</v>
      </c>
    </row>
    <row r="49" spans="4:9" x14ac:dyDescent="0.3">
      <c r="F49" s="25" t="s">
        <v>1047</v>
      </c>
      <c r="G49" t="s">
        <v>999</v>
      </c>
      <c r="H49" t="s">
        <v>998</v>
      </c>
      <c r="I49" t="s">
        <v>1055</v>
      </c>
    </row>
    <row r="50" spans="4:9" x14ac:dyDescent="0.3">
      <c r="F50" s="27" t="s">
        <v>1002</v>
      </c>
      <c r="G50" s="21">
        <v>144</v>
      </c>
      <c r="H50" s="21">
        <v>132</v>
      </c>
      <c r="I50" s="21">
        <v>276</v>
      </c>
    </row>
    <row r="51" spans="4:9" x14ac:dyDescent="0.3">
      <c r="F51" s="27" t="s">
        <v>1001</v>
      </c>
      <c r="G51" s="21">
        <v>326</v>
      </c>
      <c r="H51" s="21">
        <v>63</v>
      </c>
      <c r="I51" s="21">
        <v>389</v>
      </c>
    </row>
    <row r="52" spans="4:9" x14ac:dyDescent="0.3">
      <c r="F52" s="27" t="s">
        <v>1000</v>
      </c>
      <c r="G52" s="21">
        <v>129</v>
      </c>
      <c r="H52" s="21">
        <v>206</v>
      </c>
      <c r="I52" s="21">
        <v>335</v>
      </c>
    </row>
    <row r="53" spans="4:9" x14ac:dyDescent="0.3">
      <c r="F53" s="27" t="s">
        <v>1055</v>
      </c>
      <c r="G53" s="21">
        <v>599</v>
      </c>
      <c r="H53" s="21">
        <v>401</v>
      </c>
      <c r="I53" s="21">
        <v>1000</v>
      </c>
    </row>
    <row r="54" spans="4:9" x14ac:dyDescent="0.3">
      <c r="D54" s="25" t="s">
        <v>1047</v>
      </c>
    </row>
    <row r="55" spans="4:9" x14ac:dyDescent="0.3">
      <c r="D55" s="29" t="s">
        <v>9</v>
      </c>
    </row>
    <row r="56" spans="4:9" x14ac:dyDescent="0.3">
      <c r="D56" s="27" t="s">
        <v>1055</v>
      </c>
    </row>
    <row r="61" spans="4:9" x14ac:dyDescent="0.3">
      <c r="F61" s="25" t="s">
        <v>1047</v>
      </c>
      <c r="G61" t="s">
        <v>1042</v>
      </c>
    </row>
    <row r="62" spans="4:9" x14ac:dyDescent="0.3">
      <c r="F62" s="27">
        <v>1</v>
      </c>
      <c r="G62" s="21">
        <v>3</v>
      </c>
    </row>
    <row r="63" spans="4:9" x14ac:dyDescent="0.3">
      <c r="F63" s="27">
        <v>2</v>
      </c>
      <c r="G63" s="21">
        <v>19</v>
      </c>
    </row>
    <row r="64" spans="4:9" x14ac:dyDescent="0.3">
      <c r="F64" s="27">
        <v>3</v>
      </c>
      <c r="G64" s="21">
        <v>35</v>
      </c>
    </row>
    <row r="65" spans="6:12" x14ac:dyDescent="0.3">
      <c r="F65" s="27">
        <v>4</v>
      </c>
      <c r="G65" s="21">
        <v>87</v>
      </c>
    </row>
    <row r="66" spans="6:12" x14ac:dyDescent="0.3">
      <c r="F66" s="27">
        <v>5</v>
      </c>
      <c r="G66" s="21">
        <v>74</v>
      </c>
    </row>
    <row r="67" spans="6:12" x14ac:dyDescent="0.3">
      <c r="F67" s="27" t="s">
        <v>1055</v>
      </c>
      <c r="G67" s="21">
        <v>218</v>
      </c>
    </row>
    <row r="72" spans="6:12" x14ac:dyDescent="0.3">
      <c r="F72" s="25" t="s">
        <v>1043</v>
      </c>
      <c r="G72" s="25" t="s">
        <v>1076</v>
      </c>
    </row>
    <row r="73" spans="6:12" x14ac:dyDescent="0.3">
      <c r="F73" s="25" t="s">
        <v>1047</v>
      </c>
      <c r="G73" t="s">
        <v>11</v>
      </c>
      <c r="H73" t="s">
        <v>9</v>
      </c>
      <c r="I73" t="s">
        <v>6</v>
      </c>
      <c r="J73" t="s">
        <v>13</v>
      </c>
      <c r="K73" t="s">
        <v>10</v>
      </c>
      <c r="L73" t="s">
        <v>1055</v>
      </c>
    </row>
    <row r="74" spans="6:12" x14ac:dyDescent="0.3">
      <c r="F74" s="27" t="s">
        <v>1002</v>
      </c>
      <c r="G74" s="23"/>
      <c r="H74" s="23"/>
      <c r="I74" s="23"/>
      <c r="J74" s="23"/>
      <c r="K74" s="23"/>
      <c r="L74" s="23"/>
    </row>
    <row r="75" spans="6:12" x14ac:dyDescent="0.3">
      <c r="F75" s="30" t="s">
        <v>20</v>
      </c>
      <c r="G75" s="22">
        <v>891</v>
      </c>
      <c r="H75" s="22">
        <v>1332</v>
      </c>
      <c r="I75" s="22">
        <v>1282</v>
      </c>
      <c r="J75" s="22">
        <v>739</v>
      </c>
      <c r="K75" s="22">
        <v>560</v>
      </c>
      <c r="L75" s="22">
        <v>4804</v>
      </c>
    </row>
    <row r="76" spans="6:12" x14ac:dyDescent="0.3">
      <c r="F76" s="30" t="s">
        <v>12</v>
      </c>
      <c r="G76" s="22">
        <v>1991</v>
      </c>
      <c r="H76" s="22">
        <v>1886</v>
      </c>
      <c r="I76" s="22">
        <v>1206</v>
      </c>
      <c r="J76" s="22">
        <v>884</v>
      </c>
      <c r="K76" s="22">
        <v>1722</v>
      </c>
      <c r="L76" s="22">
        <v>7689</v>
      </c>
    </row>
    <row r="77" spans="6:12" x14ac:dyDescent="0.3">
      <c r="F77" s="30" t="s">
        <v>8</v>
      </c>
      <c r="G77" s="22">
        <v>1163</v>
      </c>
      <c r="H77" s="22">
        <v>1180</v>
      </c>
      <c r="I77" s="22">
        <v>1616</v>
      </c>
      <c r="J77" s="22">
        <v>1043</v>
      </c>
      <c r="K77" s="22">
        <v>1747</v>
      </c>
      <c r="L77" s="22">
        <v>6749</v>
      </c>
    </row>
    <row r="78" spans="6:12" x14ac:dyDescent="0.3">
      <c r="F78" s="30" t="s">
        <v>16</v>
      </c>
      <c r="G78" s="22">
        <v>1438</v>
      </c>
      <c r="H78" s="22">
        <v>1616</v>
      </c>
      <c r="I78" s="22">
        <v>866</v>
      </c>
      <c r="J78" s="22">
        <v>829</v>
      </c>
      <c r="K78" s="22">
        <v>2070</v>
      </c>
      <c r="L78" s="22">
        <v>6819</v>
      </c>
    </row>
    <row r="79" spans="6:12" x14ac:dyDescent="0.3">
      <c r="F79" s="27" t="s">
        <v>1001</v>
      </c>
      <c r="G79" s="23"/>
      <c r="H79" s="23"/>
      <c r="I79" s="23"/>
      <c r="J79" s="23"/>
      <c r="K79" s="23"/>
      <c r="L79" s="23"/>
    </row>
    <row r="80" spans="6:12" x14ac:dyDescent="0.3">
      <c r="F80" s="30" t="s">
        <v>24</v>
      </c>
      <c r="G80" s="22">
        <v>1233</v>
      </c>
      <c r="H80" s="22">
        <v>223</v>
      </c>
      <c r="I80" s="22">
        <v>1680</v>
      </c>
      <c r="J80" s="22">
        <v>990</v>
      </c>
      <c r="K80" s="22">
        <v>1508</v>
      </c>
      <c r="L80" s="22">
        <v>5634</v>
      </c>
    </row>
    <row r="81" spans="6:12" x14ac:dyDescent="0.3">
      <c r="F81" s="30" t="s">
        <v>15</v>
      </c>
      <c r="G81" s="22">
        <v>1598</v>
      </c>
      <c r="H81" s="22">
        <v>1907</v>
      </c>
      <c r="I81" s="22">
        <v>869</v>
      </c>
      <c r="J81" s="22">
        <v>1426</v>
      </c>
      <c r="K81" s="22">
        <v>1416</v>
      </c>
      <c r="L81" s="22">
        <v>7216</v>
      </c>
    </row>
    <row r="82" spans="6:12" x14ac:dyDescent="0.3">
      <c r="F82" s="30" t="s">
        <v>5</v>
      </c>
      <c r="G82" s="22">
        <v>900</v>
      </c>
      <c r="H82" s="22">
        <v>1016</v>
      </c>
      <c r="I82" s="22">
        <v>960</v>
      </c>
      <c r="J82" s="22">
        <v>940</v>
      </c>
      <c r="K82" s="22">
        <v>1193</v>
      </c>
      <c r="L82" s="22">
        <v>5009</v>
      </c>
    </row>
    <row r="83" spans="6:12" x14ac:dyDescent="0.3">
      <c r="F83" s="30" t="s">
        <v>18</v>
      </c>
      <c r="G83" s="22">
        <v>900</v>
      </c>
      <c r="H83" s="22">
        <v>1470</v>
      </c>
      <c r="I83" s="22">
        <v>1617</v>
      </c>
      <c r="J83" s="22">
        <v>1314</v>
      </c>
      <c r="K83" s="22">
        <v>941</v>
      </c>
      <c r="L83" s="22">
        <v>6242</v>
      </c>
    </row>
    <row r="84" spans="6:12" x14ac:dyDescent="0.3">
      <c r="F84" s="30" t="s">
        <v>14</v>
      </c>
      <c r="G84" s="22">
        <v>1255</v>
      </c>
      <c r="H84" s="22">
        <v>516</v>
      </c>
      <c r="I84" s="22">
        <v>1874</v>
      </c>
      <c r="J84" s="22">
        <v>1863</v>
      </c>
      <c r="K84" s="22">
        <v>1722</v>
      </c>
      <c r="L84" s="22">
        <v>7230</v>
      </c>
    </row>
    <row r="85" spans="6:12" x14ac:dyDescent="0.3">
      <c r="F85" s="30" t="s">
        <v>19</v>
      </c>
      <c r="G85" s="22">
        <v>1138</v>
      </c>
      <c r="H85" s="22">
        <v>1898</v>
      </c>
      <c r="I85" s="22">
        <v>1482</v>
      </c>
      <c r="J85" s="22">
        <v>846</v>
      </c>
      <c r="K85" s="22">
        <v>1154</v>
      </c>
      <c r="L85" s="22">
        <v>6518</v>
      </c>
    </row>
    <row r="86" spans="6:12" x14ac:dyDescent="0.3">
      <c r="F86" s="27" t="s">
        <v>1000</v>
      </c>
      <c r="G86" s="23"/>
      <c r="H86" s="23"/>
      <c r="I86" s="23"/>
      <c r="J86" s="23"/>
      <c r="K86" s="23"/>
      <c r="L86" s="23"/>
    </row>
    <row r="87" spans="6:12" x14ac:dyDescent="0.3">
      <c r="F87" s="30" t="s">
        <v>17</v>
      </c>
      <c r="G87" s="22">
        <v>1655</v>
      </c>
      <c r="H87" s="22">
        <v>805</v>
      </c>
      <c r="I87" s="22">
        <v>2263</v>
      </c>
      <c r="J87" s="22">
        <v>987</v>
      </c>
      <c r="K87" s="22">
        <v>1075</v>
      </c>
      <c r="L87" s="22">
        <v>6785</v>
      </c>
    </row>
    <row r="88" spans="6:12" x14ac:dyDescent="0.3">
      <c r="F88" s="30" t="s">
        <v>23</v>
      </c>
      <c r="G88" s="22">
        <v>1104</v>
      </c>
      <c r="H88" s="22">
        <v>2280</v>
      </c>
      <c r="I88" s="22">
        <v>1445</v>
      </c>
      <c r="J88" s="22">
        <v>1722</v>
      </c>
      <c r="K88" s="22">
        <v>1196</v>
      </c>
      <c r="L88" s="22">
        <v>7747</v>
      </c>
    </row>
    <row r="89" spans="6:12" x14ac:dyDescent="0.3">
      <c r="F89" s="30" t="s">
        <v>7</v>
      </c>
      <c r="G89" s="22">
        <v>372</v>
      </c>
      <c r="H89" s="22">
        <v>1818</v>
      </c>
      <c r="I89" s="22">
        <v>1346</v>
      </c>
      <c r="J89" s="22">
        <v>1156</v>
      </c>
      <c r="K89" s="22">
        <v>1484</v>
      </c>
      <c r="L89" s="22">
        <v>6176</v>
      </c>
    </row>
    <row r="90" spans="6:12" x14ac:dyDescent="0.3">
      <c r="F90" s="30" t="s">
        <v>22</v>
      </c>
      <c r="G90" s="22">
        <v>1415</v>
      </c>
      <c r="H90" s="22">
        <v>1271</v>
      </c>
      <c r="I90" s="22">
        <v>1214</v>
      </c>
      <c r="J90" s="22">
        <v>1135</v>
      </c>
      <c r="K90" s="22">
        <v>1566</v>
      </c>
      <c r="L90" s="22">
        <v>6601</v>
      </c>
    </row>
    <row r="91" spans="6:12" x14ac:dyDescent="0.3">
      <c r="F91" s="30" t="s">
        <v>21</v>
      </c>
      <c r="G91" s="22">
        <v>1362</v>
      </c>
      <c r="H91" s="22">
        <v>1363</v>
      </c>
      <c r="I91" s="22">
        <v>1152</v>
      </c>
      <c r="J91" s="22">
        <v>777</v>
      </c>
      <c r="K91" s="22">
        <v>750</v>
      </c>
      <c r="L91" s="22">
        <v>5404</v>
      </c>
    </row>
    <row r="92" spans="6:12" x14ac:dyDescent="0.3">
      <c r="F92" s="27" t="s">
        <v>1055</v>
      </c>
      <c r="G92" s="22">
        <v>18415</v>
      </c>
      <c r="H92" s="22">
        <v>20581</v>
      </c>
      <c r="I92" s="22">
        <v>20872</v>
      </c>
      <c r="J92" s="22">
        <v>16651</v>
      </c>
      <c r="K92" s="22">
        <v>20104</v>
      </c>
      <c r="L92" s="22">
        <v>96623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690D4-853B-4964-B600-6F827ECEAC3A}">
  <dimension ref="A1:AE44"/>
  <sheetViews>
    <sheetView tabSelected="1" topLeftCell="B1" zoomScale="79" zoomScaleNormal="79" workbookViewId="0">
      <selection activeCell="O1" sqref="O1"/>
    </sheetView>
  </sheetViews>
  <sheetFormatPr defaultRowHeight="14.4" x14ac:dyDescent="0.3"/>
  <cols>
    <col min="1" max="1" width="2.59765625" style="20" customWidth="1"/>
    <col min="2" max="2" width="2.69921875" style="20" customWidth="1"/>
    <col min="3" max="4" width="8.796875" style="20" customWidth="1"/>
    <col min="5" max="16" width="8.796875" style="20"/>
    <col min="17" max="17" width="12.5" style="20" customWidth="1"/>
    <col min="18" max="27" width="8.796875" style="20"/>
  </cols>
  <sheetData>
    <row r="1" spans="1:31" ht="31.2" x14ac:dyDescent="0.6">
      <c r="A1" s="26"/>
      <c r="B1" s="26"/>
      <c r="C1" s="38" t="s">
        <v>1078</v>
      </c>
      <c r="D1" s="37"/>
      <c r="E1" s="26"/>
      <c r="F1" s="26"/>
      <c r="G1" s="26"/>
      <c r="H1" s="26"/>
      <c r="I1" s="26"/>
      <c r="J1" s="26"/>
      <c r="K1" s="26"/>
      <c r="L1" s="26"/>
      <c r="M1" s="26"/>
      <c r="N1" s="26"/>
      <c r="O1" s="26"/>
      <c r="P1" s="26"/>
      <c r="Q1" s="26"/>
      <c r="R1" s="26"/>
      <c r="S1" s="26"/>
      <c r="T1" s="26"/>
      <c r="U1" s="26"/>
      <c r="V1" s="26"/>
      <c r="W1" s="26"/>
      <c r="X1" s="26"/>
      <c r="Y1" s="26"/>
      <c r="Z1" s="26"/>
      <c r="AA1" s="26"/>
      <c r="AB1" s="26"/>
      <c r="AC1" s="26"/>
      <c r="AD1" s="26"/>
      <c r="AE1" s="26"/>
    </row>
    <row r="2" spans="1:31"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row>
    <row r="3" spans="1:31"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row>
    <row r="4" spans="1:31"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row>
    <row r="5" spans="1:31" x14ac:dyDescent="0.3">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row>
    <row r="6" spans="1:31" x14ac:dyDescent="0.3">
      <c r="A6" s="26"/>
      <c r="B6" s="26"/>
      <c r="C6" s="26"/>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row>
    <row r="7" spans="1:31" x14ac:dyDescent="0.3">
      <c r="A7" s="26"/>
      <c r="B7" s="26"/>
      <c r="C7" s="26"/>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row>
    <row r="8" spans="1:31" x14ac:dyDescent="0.3">
      <c r="A8" s="26"/>
      <c r="B8" s="26"/>
      <c r="C8" s="26"/>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row>
    <row r="9" spans="1:31"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row>
    <row r="10" spans="1:31" x14ac:dyDescent="0.3">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row>
    <row r="11" spans="1:31"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row>
    <row r="12" spans="1:31"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row>
    <row r="13" spans="1:31"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row>
    <row r="14" spans="1:31"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row>
    <row r="15" spans="1:31"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row>
    <row r="16" spans="1:31"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row>
    <row r="17" spans="1:31"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34"/>
      <c r="AB17" s="26"/>
      <c r="AC17" s="26"/>
      <c r="AD17" s="26"/>
      <c r="AE17" s="26"/>
    </row>
    <row r="18" spans="1:31"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row>
    <row r="19" spans="1:31"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row>
    <row r="20" spans="1:31"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row>
    <row r="21" spans="1:31"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row>
    <row r="22" spans="1:31" x14ac:dyDescent="0.3">
      <c r="A22" s="26"/>
      <c r="B22" s="26"/>
      <c r="C22" s="26"/>
      <c r="D22" s="26"/>
      <c r="E22" s="26"/>
      <c r="F22" s="26"/>
      <c r="G22" s="26"/>
      <c r="H22" s="26"/>
      <c r="I22" s="26"/>
      <c r="J22" s="26"/>
      <c r="K22" s="26"/>
      <c r="L22" s="26"/>
      <c r="M22" s="26"/>
      <c r="N22" s="26"/>
      <c r="O22" s="26"/>
      <c r="P22" s="36" t="str">
        <f>Pivots!F74</f>
        <v>Cincinnati</v>
      </c>
      <c r="Q22" s="35" t="str" cm="1">
        <f t="array" ref="Q22:U22">Pivots!G73:K73</f>
        <v>R01</v>
      </c>
      <c r="R22" s="35" t="str">
        <v>R02</v>
      </c>
      <c r="S22" s="35" t="str">
        <v>R03</v>
      </c>
      <c r="T22" s="35" t="str">
        <v>R04</v>
      </c>
      <c r="U22" s="35" t="str">
        <v>R05</v>
      </c>
      <c r="V22" s="33" t="s">
        <v>1077</v>
      </c>
      <c r="W22" s="26"/>
      <c r="X22" s="26"/>
      <c r="Y22" s="26"/>
      <c r="Z22" s="26"/>
      <c r="AA22" s="26"/>
      <c r="AB22" s="26"/>
      <c r="AC22" s="26"/>
      <c r="AD22" s="26"/>
      <c r="AE22" s="26"/>
    </row>
    <row r="23" spans="1:31" x14ac:dyDescent="0.3">
      <c r="A23" s="26"/>
      <c r="B23" s="26"/>
      <c r="C23" s="26"/>
      <c r="D23" s="26"/>
      <c r="E23" s="26"/>
      <c r="F23" s="26"/>
      <c r="G23" s="26"/>
      <c r="H23" s="26"/>
      <c r="I23" s="26"/>
      <c r="J23" s="26"/>
      <c r="K23" s="26"/>
      <c r="L23" s="26"/>
      <c r="M23" s="26"/>
      <c r="N23" s="26"/>
      <c r="O23" s="26"/>
      <c r="P23" s="32" t="str">
        <f>Pivots!F75</f>
        <v>C0003</v>
      </c>
      <c r="Q23" s="31">
        <f>Pivots!G75</f>
        <v>891</v>
      </c>
      <c r="R23" s="31">
        <f>Pivots!H75</f>
        <v>1332</v>
      </c>
      <c r="S23" s="31">
        <f>Pivots!I75</f>
        <v>1282</v>
      </c>
      <c r="T23" s="31">
        <f>Pivots!J75</f>
        <v>739</v>
      </c>
      <c r="U23" s="31">
        <f>Pivots!K75</f>
        <v>560</v>
      </c>
      <c r="V23" s="31">
        <f>Pivots!L75</f>
        <v>4804</v>
      </c>
      <c r="W23" s="26"/>
      <c r="X23" s="26"/>
      <c r="Y23" s="26"/>
      <c r="Z23" s="26"/>
      <c r="AA23" s="26"/>
      <c r="AB23" s="26"/>
      <c r="AC23" s="26"/>
      <c r="AD23" s="26"/>
      <c r="AE23" s="26"/>
    </row>
    <row r="24" spans="1:31" x14ac:dyDescent="0.3">
      <c r="A24" s="26"/>
      <c r="B24" s="26"/>
      <c r="C24" s="26"/>
      <c r="D24" s="26"/>
      <c r="E24" s="26"/>
      <c r="F24" s="26"/>
      <c r="G24" s="26"/>
      <c r="H24" s="26"/>
      <c r="I24" s="26"/>
      <c r="J24" s="26"/>
      <c r="K24" s="26"/>
      <c r="L24" s="26"/>
      <c r="M24" s="26"/>
      <c r="N24" s="26"/>
      <c r="O24" s="26"/>
      <c r="P24" s="32" t="str">
        <f>Pivots!F76</f>
        <v>C0004</v>
      </c>
      <c r="Q24" s="31">
        <f>Pivots!G76</f>
        <v>1991</v>
      </c>
      <c r="R24" s="31">
        <f>Pivots!H76</f>
        <v>1886</v>
      </c>
      <c r="S24" s="31">
        <f>Pivots!I76</f>
        <v>1206</v>
      </c>
      <c r="T24" s="31">
        <f>Pivots!J76</f>
        <v>884</v>
      </c>
      <c r="U24" s="31">
        <f>Pivots!K76</f>
        <v>1722</v>
      </c>
      <c r="V24" s="31">
        <f>Pivots!L76</f>
        <v>7689</v>
      </c>
      <c r="W24" s="26"/>
      <c r="X24" s="26"/>
      <c r="Y24" s="26"/>
      <c r="Z24" s="26"/>
      <c r="AA24" s="26"/>
      <c r="AB24" s="26"/>
      <c r="AC24" s="26"/>
      <c r="AD24" s="26"/>
      <c r="AE24" s="26"/>
    </row>
    <row r="25" spans="1:31" x14ac:dyDescent="0.3">
      <c r="A25" s="26"/>
      <c r="B25" s="26"/>
      <c r="C25" s="26"/>
      <c r="D25" s="26"/>
      <c r="E25" s="26"/>
      <c r="F25" s="26"/>
      <c r="G25" s="26"/>
      <c r="H25" s="26"/>
      <c r="I25" s="26"/>
      <c r="J25" s="26"/>
      <c r="K25" s="26"/>
      <c r="L25" s="26"/>
      <c r="M25" s="26"/>
      <c r="N25" s="26"/>
      <c r="O25" s="26"/>
      <c r="P25" s="32" t="str">
        <f>Pivots!F77</f>
        <v>C0011</v>
      </c>
      <c r="Q25" s="31">
        <f>Pivots!G77</f>
        <v>1163</v>
      </c>
      <c r="R25" s="31">
        <f>Pivots!H77</f>
        <v>1180</v>
      </c>
      <c r="S25" s="31">
        <f>Pivots!I77</f>
        <v>1616</v>
      </c>
      <c r="T25" s="31">
        <f>Pivots!J77</f>
        <v>1043</v>
      </c>
      <c r="U25" s="31">
        <f>Pivots!K77</f>
        <v>1747</v>
      </c>
      <c r="V25" s="31">
        <f>Pivots!L77</f>
        <v>6749</v>
      </c>
      <c r="W25" s="26"/>
      <c r="X25" s="26"/>
      <c r="Y25" s="26"/>
      <c r="Z25" s="26"/>
      <c r="AA25" s="26"/>
      <c r="AB25" s="26"/>
      <c r="AC25" s="26"/>
      <c r="AD25" s="26"/>
      <c r="AE25" s="26"/>
    </row>
    <row r="26" spans="1:31" x14ac:dyDescent="0.3">
      <c r="A26" s="26"/>
      <c r="B26" s="26"/>
      <c r="C26" s="26"/>
      <c r="D26" s="26"/>
      <c r="E26" s="26"/>
      <c r="F26" s="26"/>
      <c r="G26" s="26"/>
      <c r="H26" s="26"/>
      <c r="I26" s="26"/>
      <c r="J26" s="26"/>
      <c r="K26" s="26"/>
      <c r="L26" s="26"/>
      <c r="M26" s="26"/>
      <c r="N26" s="26"/>
      <c r="O26" s="26"/>
      <c r="P26" s="32" t="str">
        <f>Pivots!F78</f>
        <v>C0012</v>
      </c>
      <c r="Q26" s="31">
        <f>Pivots!G78</f>
        <v>1438</v>
      </c>
      <c r="R26" s="31">
        <f>Pivots!H78</f>
        <v>1616</v>
      </c>
      <c r="S26" s="31">
        <f>Pivots!I78</f>
        <v>866</v>
      </c>
      <c r="T26" s="31">
        <f>Pivots!J78</f>
        <v>829</v>
      </c>
      <c r="U26" s="31">
        <f>Pivots!K78</f>
        <v>2070</v>
      </c>
      <c r="V26" s="31">
        <f>Pivots!L78</f>
        <v>6819</v>
      </c>
      <c r="W26" s="26"/>
      <c r="X26" s="26"/>
      <c r="Y26" s="26"/>
      <c r="Z26" s="26"/>
      <c r="AA26" s="26"/>
      <c r="AB26" s="26"/>
      <c r="AC26" s="26"/>
      <c r="AD26" s="26"/>
      <c r="AE26" s="26"/>
    </row>
    <row r="27" spans="1:31" x14ac:dyDescent="0.3">
      <c r="A27" s="26"/>
      <c r="B27" s="26"/>
      <c r="C27" s="26"/>
      <c r="D27" s="26"/>
      <c r="E27" s="26"/>
      <c r="F27" s="26"/>
      <c r="G27" s="26"/>
      <c r="H27" s="26"/>
      <c r="I27" s="26"/>
      <c r="J27" s="26"/>
      <c r="K27" s="26"/>
      <c r="L27" s="26"/>
      <c r="M27" s="26"/>
      <c r="N27" s="26"/>
      <c r="O27" s="26"/>
      <c r="P27" s="36" t="str">
        <f>Pivots!F79</f>
        <v>Cleveland</v>
      </c>
      <c r="Q27" s="31"/>
      <c r="R27" s="31"/>
      <c r="S27" s="31"/>
      <c r="T27" s="31"/>
      <c r="U27" s="31"/>
      <c r="V27" s="31"/>
      <c r="W27" s="26"/>
      <c r="X27" s="26"/>
      <c r="Y27" s="26"/>
      <c r="Z27" s="26"/>
      <c r="AA27" s="26"/>
      <c r="AB27" s="26"/>
      <c r="AC27" s="26"/>
      <c r="AD27" s="26"/>
      <c r="AE27" s="26"/>
    </row>
    <row r="28" spans="1:31" x14ac:dyDescent="0.3">
      <c r="A28" s="26"/>
      <c r="B28" s="26"/>
      <c r="C28" s="26"/>
      <c r="D28" s="26"/>
      <c r="E28" s="26"/>
      <c r="F28" s="26"/>
      <c r="G28" s="26"/>
      <c r="H28" s="26"/>
      <c r="I28" s="26"/>
      <c r="J28" s="26"/>
      <c r="K28" s="26"/>
      <c r="L28" s="26"/>
      <c r="M28" s="26"/>
      <c r="N28" s="26"/>
      <c r="O28" s="26"/>
      <c r="P28" s="32" t="str">
        <f>Pivots!F80</f>
        <v>C0002</v>
      </c>
      <c r="Q28" s="31">
        <f>Pivots!G80</f>
        <v>1233</v>
      </c>
      <c r="R28" s="31">
        <f>Pivots!H80</f>
        <v>223</v>
      </c>
      <c r="S28" s="31">
        <f>Pivots!I80</f>
        <v>1680</v>
      </c>
      <c r="T28" s="31">
        <f>Pivots!J80</f>
        <v>990</v>
      </c>
      <c r="U28" s="31">
        <f>Pivots!K80</f>
        <v>1508</v>
      </c>
      <c r="V28" s="31">
        <f>Pivots!L80</f>
        <v>5634</v>
      </c>
      <c r="W28" s="26"/>
      <c r="X28" s="26"/>
      <c r="Y28" s="26"/>
      <c r="Z28" s="26"/>
      <c r="AA28" s="26"/>
      <c r="AB28" s="26"/>
      <c r="AC28" s="26"/>
      <c r="AD28" s="26"/>
      <c r="AE28" s="26"/>
    </row>
    <row r="29" spans="1:31" x14ac:dyDescent="0.3">
      <c r="A29" s="26"/>
      <c r="B29" s="26"/>
      <c r="C29" s="26"/>
      <c r="D29" s="26"/>
      <c r="E29" s="26"/>
      <c r="F29" s="26"/>
      <c r="G29" s="26"/>
      <c r="H29" s="26"/>
      <c r="I29" s="26"/>
      <c r="J29" s="26"/>
      <c r="K29" s="26"/>
      <c r="L29" s="26"/>
      <c r="M29" s="26"/>
      <c r="N29" s="26"/>
      <c r="O29" s="26"/>
      <c r="P29" s="32" t="str">
        <f>Pivots!F81</f>
        <v>C0007</v>
      </c>
      <c r="Q29" s="31">
        <f>Pivots!G81</f>
        <v>1598</v>
      </c>
      <c r="R29" s="31">
        <f>Pivots!H81</f>
        <v>1907</v>
      </c>
      <c r="S29" s="31">
        <f>Pivots!I81</f>
        <v>869</v>
      </c>
      <c r="T29" s="31">
        <f>Pivots!J81</f>
        <v>1426</v>
      </c>
      <c r="U29" s="31">
        <f>Pivots!K81</f>
        <v>1416</v>
      </c>
      <c r="V29" s="31">
        <f>Pivots!L81</f>
        <v>7216</v>
      </c>
      <c r="W29" s="26"/>
      <c r="X29" s="26"/>
      <c r="Y29" s="26"/>
      <c r="Z29" s="26"/>
      <c r="AA29" s="26"/>
      <c r="AB29" s="26"/>
      <c r="AC29" s="26"/>
      <c r="AD29" s="26"/>
      <c r="AE29" s="26"/>
    </row>
    <row r="30" spans="1:31" x14ac:dyDescent="0.3">
      <c r="A30" s="26"/>
      <c r="B30" s="26"/>
      <c r="C30" s="26"/>
      <c r="D30" s="26"/>
      <c r="E30" s="26"/>
      <c r="F30" s="26"/>
      <c r="G30" s="26"/>
      <c r="H30" s="26"/>
      <c r="I30" s="26"/>
      <c r="J30" s="26"/>
      <c r="K30" s="26"/>
      <c r="L30" s="26"/>
      <c r="M30" s="26"/>
      <c r="N30" s="26"/>
      <c r="O30" s="26"/>
      <c r="P30" s="32" t="str">
        <f>Pivots!F82</f>
        <v>C0008</v>
      </c>
      <c r="Q30" s="31">
        <f>Pivots!G82</f>
        <v>900</v>
      </c>
      <c r="R30" s="31">
        <f>Pivots!H82</f>
        <v>1016</v>
      </c>
      <c r="S30" s="31">
        <f>Pivots!I82</f>
        <v>960</v>
      </c>
      <c r="T30" s="31">
        <f>Pivots!J82</f>
        <v>940</v>
      </c>
      <c r="U30" s="31">
        <f>Pivots!K82</f>
        <v>1193</v>
      </c>
      <c r="V30" s="31">
        <f>Pivots!L82</f>
        <v>5009</v>
      </c>
      <c r="W30" s="26"/>
      <c r="X30" s="26"/>
      <c r="Y30" s="26"/>
      <c r="Z30" s="26"/>
      <c r="AA30" s="26"/>
      <c r="AB30" s="26"/>
      <c r="AC30" s="26"/>
      <c r="AD30" s="26"/>
      <c r="AE30" s="26"/>
    </row>
    <row r="31" spans="1:31" x14ac:dyDescent="0.3">
      <c r="A31" s="26"/>
      <c r="B31" s="26"/>
      <c r="C31" s="26"/>
      <c r="D31" s="26"/>
      <c r="E31" s="26"/>
      <c r="F31" s="26"/>
      <c r="G31" s="26"/>
      <c r="H31" s="26"/>
      <c r="I31" s="26"/>
      <c r="J31" s="26"/>
      <c r="K31" s="26"/>
      <c r="L31" s="26"/>
      <c r="M31" s="26"/>
      <c r="N31" s="26"/>
      <c r="O31" s="26"/>
      <c r="P31" s="32" t="str">
        <f>Pivots!F83</f>
        <v>C0010</v>
      </c>
      <c r="Q31" s="31">
        <f>Pivots!G83</f>
        <v>900</v>
      </c>
      <c r="R31" s="31">
        <f>Pivots!H83</f>
        <v>1470</v>
      </c>
      <c r="S31" s="31">
        <f>Pivots!I83</f>
        <v>1617</v>
      </c>
      <c r="T31" s="31">
        <f>Pivots!J83</f>
        <v>1314</v>
      </c>
      <c r="U31" s="31">
        <f>Pivots!K83</f>
        <v>941</v>
      </c>
      <c r="V31" s="31">
        <f>Pivots!L83</f>
        <v>6242</v>
      </c>
      <c r="W31" s="26"/>
      <c r="X31" s="26"/>
      <c r="Y31" s="26"/>
      <c r="Z31" s="26"/>
      <c r="AA31" s="26"/>
      <c r="AB31" s="26"/>
      <c r="AC31" s="26"/>
      <c r="AD31" s="26"/>
      <c r="AE31" s="26"/>
    </row>
    <row r="32" spans="1:31" x14ac:dyDescent="0.3">
      <c r="A32" s="26"/>
      <c r="B32" s="26"/>
      <c r="C32" s="26"/>
      <c r="D32" s="26"/>
      <c r="E32" s="26"/>
      <c r="F32" s="26"/>
      <c r="G32" s="26"/>
      <c r="H32" s="26"/>
      <c r="I32" s="26"/>
      <c r="J32" s="26"/>
      <c r="K32" s="26"/>
      <c r="L32" s="26"/>
      <c r="M32" s="26"/>
      <c r="N32" s="26"/>
      <c r="O32" s="26"/>
      <c r="P32" s="32" t="str">
        <f>Pivots!F84</f>
        <v>C0013</v>
      </c>
      <c r="Q32" s="31">
        <f>Pivots!G84</f>
        <v>1255</v>
      </c>
      <c r="R32" s="31">
        <f>Pivots!H84</f>
        <v>516</v>
      </c>
      <c r="S32" s="31">
        <f>Pivots!I84</f>
        <v>1874</v>
      </c>
      <c r="T32" s="31">
        <f>Pivots!J84</f>
        <v>1863</v>
      </c>
      <c r="U32" s="31">
        <f>Pivots!K84</f>
        <v>1722</v>
      </c>
      <c r="V32" s="31">
        <f>Pivots!L84</f>
        <v>7230</v>
      </c>
      <c r="W32" s="26"/>
      <c r="X32" s="26"/>
      <c r="Y32" s="26"/>
      <c r="Z32" s="26"/>
      <c r="AA32" s="26"/>
      <c r="AB32" s="26"/>
      <c r="AC32" s="26"/>
      <c r="AD32" s="26"/>
      <c r="AE32" s="26"/>
    </row>
    <row r="33" spans="1:31" x14ac:dyDescent="0.3">
      <c r="A33" s="26"/>
      <c r="B33" s="26"/>
      <c r="C33" s="26"/>
      <c r="D33" s="26"/>
      <c r="E33" s="26"/>
      <c r="F33" s="26"/>
      <c r="G33" s="26"/>
      <c r="H33" s="26"/>
      <c r="I33" s="26"/>
      <c r="J33" s="26"/>
      <c r="K33" s="26"/>
      <c r="L33" s="26"/>
      <c r="M33" s="26"/>
      <c r="N33" s="26"/>
      <c r="O33" s="26"/>
      <c r="P33" s="32" t="str">
        <f>Pivots!F85</f>
        <v>C0015</v>
      </c>
      <c r="Q33" s="31">
        <f>Pivots!G85</f>
        <v>1138</v>
      </c>
      <c r="R33" s="31">
        <f>Pivots!H85</f>
        <v>1898</v>
      </c>
      <c r="S33" s="31">
        <f>Pivots!I85</f>
        <v>1482</v>
      </c>
      <c r="T33" s="31">
        <f>Pivots!J85</f>
        <v>846</v>
      </c>
      <c r="U33" s="31">
        <f>Pivots!K85</f>
        <v>1154</v>
      </c>
      <c r="V33" s="31">
        <f>Pivots!L85</f>
        <v>6518</v>
      </c>
      <c r="W33" s="26"/>
      <c r="X33" s="26"/>
      <c r="Y33" s="26"/>
      <c r="Z33" s="26"/>
      <c r="AA33" s="26"/>
      <c r="AB33" s="26"/>
      <c r="AC33" s="26"/>
      <c r="AD33" s="26"/>
      <c r="AE33" s="26"/>
    </row>
    <row r="34" spans="1:31" x14ac:dyDescent="0.3">
      <c r="A34" s="26"/>
      <c r="B34" s="26"/>
      <c r="C34" s="26"/>
      <c r="D34" s="26"/>
      <c r="E34" s="26"/>
      <c r="F34" s="26"/>
      <c r="G34" s="26"/>
      <c r="H34" s="26"/>
      <c r="I34" s="26"/>
      <c r="J34" s="26"/>
      <c r="K34" s="26"/>
      <c r="L34" s="26"/>
      <c r="M34" s="26"/>
      <c r="N34" s="26"/>
      <c r="O34" s="26"/>
      <c r="P34" s="36" t="str">
        <f>Pivots!F86</f>
        <v>Columbus</v>
      </c>
      <c r="Q34" s="31"/>
      <c r="R34" s="31"/>
      <c r="S34" s="31"/>
      <c r="T34" s="31"/>
      <c r="U34" s="31"/>
      <c r="V34" s="31"/>
      <c r="W34" s="26"/>
      <c r="X34" s="26"/>
      <c r="Y34" s="26"/>
      <c r="Z34" s="26"/>
      <c r="AA34" s="26"/>
      <c r="AB34" s="26"/>
      <c r="AC34" s="26"/>
      <c r="AD34" s="26"/>
      <c r="AE34" s="26"/>
    </row>
    <row r="35" spans="1:31" x14ac:dyDescent="0.3">
      <c r="A35" s="26"/>
      <c r="B35" s="26"/>
      <c r="C35" s="26"/>
      <c r="D35" s="26"/>
      <c r="E35" s="26"/>
      <c r="F35" s="26"/>
      <c r="G35" s="26"/>
      <c r="H35" s="26"/>
      <c r="I35" s="26"/>
      <c r="J35" s="26"/>
      <c r="K35" s="26"/>
      <c r="L35" s="26"/>
      <c r="M35" s="26"/>
      <c r="N35" s="26"/>
      <c r="O35" s="26"/>
      <c r="P35" s="32" t="str">
        <f>Pivots!F87</f>
        <v>C0001</v>
      </c>
      <c r="Q35" s="31">
        <f>Pivots!G87</f>
        <v>1655</v>
      </c>
      <c r="R35" s="31">
        <f>Pivots!H87</f>
        <v>805</v>
      </c>
      <c r="S35" s="31">
        <f>Pivots!I87</f>
        <v>2263</v>
      </c>
      <c r="T35" s="31">
        <f>Pivots!J87</f>
        <v>987</v>
      </c>
      <c r="U35" s="31">
        <f>Pivots!K87</f>
        <v>1075</v>
      </c>
      <c r="V35" s="31">
        <f>Pivots!L87</f>
        <v>6785</v>
      </c>
      <c r="W35" s="26"/>
      <c r="X35" s="26"/>
      <c r="Y35" s="26"/>
      <c r="Z35" s="26"/>
      <c r="AA35" s="26"/>
      <c r="AB35" s="26"/>
      <c r="AC35" s="26"/>
      <c r="AD35" s="26"/>
      <c r="AE35" s="26"/>
    </row>
    <row r="36" spans="1:31" x14ac:dyDescent="0.3">
      <c r="A36" s="26"/>
      <c r="B36" s="26"/>
      <c r="C36" s="26"/>
      <c r="D36" s="26"/>
      <c r="E36" s="26"/>
      <c r="F36" s="26"/>
      <c r="G36" s="26"/>
      <c r="H36" s="26"/>
      <c r="I36" s="26"/>
      <c r="J36" s="26"/>
      <c r="K36" s="26"/>
      <c r="L36" s="26"/>
      <c r="M36" s="26"/>
      <c r="N36" s="26"/>
      <c r="O36" s="26"/>
      <c r="P36" s="32" t="str">
        <f>Pivots!F88</f>
        <v>C0005</v>
      </c>
      <c r="Q36" s="31">
        <f>Pivots!G88</f>
        <v>1104</v>
      </c>
      <c r="R36" s="31">
        <f>Pivots!H88</f>
        <v>2280</v>
      </c>
      <c r="S36" s="31">
        <f>Pivots!I88</f>
        <v>1445</v>
      </c>
      <c r="T36" s="31">
        <f>Pivots!J88</f>
        <v>1722</v>
      </c>
      <c r="U36" s="31">
        <f>Pivots!K88</f>
        <v>1196</v>
      </c>
      <c r="V36" s="31">
        <f>Pivots!L88</f>
        <v>7747</v>
      </c>
      <c r="W36" s="26"/>
      <c r="X36" s="26"/>
      <c r="Y36" s="26"/>
      <c r="Z36" s="26"/>
      <c r="AA36" s="26"/>
      <c r="AB36" s="26"/>
      <c r="AC36" s="26"/>
      <c r="AD36" s="26"/>
      <c r="AE36" s="26"/>
    </row>
    <row r="37" spans="1:31" x14ac:dyDescent="0.3">
      <c r="A37" s="26"/>
      <c r="B37" s="26"/>
      <c r="C37" s="26"/>
      <c r="D37" s="26"/>
      <c r="E37" s="26"/>
      <c r="F37" s="26"/>
      <c r="G37" s="26"/>
      <c r="H37" s="26"/>
      <c r="I37" s="26"/>
      <c r="J37" s="26"/>
      <c r="K37" s="26"/>
      <c r="L37" s="26"/>
      <c r="M37" s="26"/>
      <c r="N37" s="26"/>
      <c r="O37" s="26"/>
      <c r="P37" s="32" t="str">
        <f>Pivots!F89</f>
        <v>C0006</v>
      </c>
      <c r="Q37" s="31">
        <f>Pivots!G89</f>
        <v>372</v>
      </c>
      <c r="R37" s="31">
        <f>Pivots!H89</f>
        <v>1818</v>
      </c>
      <c r="S37" s="31">
        <f>Pivots!I89</f>
        <v>1346</v>
      </c>
      <c r="T37" s="31">
        <f>Pivots!J89</f>
        <v>1156</v>
      </c>
      <c r="U37" s="31">
        <f>Pivots!K89</f>
        <v>1484</v>
      </c>
      <c r="V37" s="31">
        <f>Pivots!L89</f>
        <v>6176</v>
      </c>
      <c r="W37" s="26"/>
      <c r="X37" s="26"/>
      <c r="Y37" s="26"/>
      <c r="Z37" s="26"/>
      <c r="AA37" s="26"/>
      <c r="AB37" s="26"/>
      <c r="AC37" s="26"/>
      <c r="AD37" s="26"/>
      <c r="AE37" s="26"/>
    </row>
    <row r="38" spans="1:31" x14ac:dyDescent="0.3">
      <c r="A38" s="26"/>
      <c r="B38" s="26"/>
      <c r="C38" s="26"/>
      <c r="D38" s="26"/>
      <c r="E38" s="26"/>
      <c r="F38" s="26"/>
      <c r="G38" s="26"/>
      <c r="H38" s="26"/>
      <c r="I38" s="26"/>
      <c r="J38" s="26"/>
      <c r="K38" s="26"/>
      <c r="L38" s="26"/>
      <c r="M38" s="26"/>
      <c r="N38" s="26"/>
      <c r="O38" s="26"/>
      <c r="P38" s="32" t="str">
        <f>Pivots!F90</f>
        <v>C0009</v>
      </c>
      <c r="Q38" s="31">
        <f>Pivots!G90</f>
        <v>1415</v>
      </c>
      <c r="R38" s="31">
        <f>Pivots!H90</f>
        <v>1271</v>
      </c>
      <c r="S38" s="31">
        <f>Pivots!I90</f>
        <v>1214</v>
      </c>
      <c r="T38" s="31">
        <f>Pivots!J90</f>
        <v>1135</v>
      </c>
      <c r="U38" s="31">
        <f>Pivots!K90</f>
        <v>1566</v>
      </c>
      <c r="V38" s="31">
        <f>Pivots!L90</f>
        <v>6601</v>
      </c>
      <c r="W38" s="26"/>
      <c r="X38" s="26"/>
      <c r="Y38" s="26"/>
      <c r="Z38" s="26"/>
      <c r="AA38" s="26"/>
    </row>
    <row r="39" spans="1:31" x14ac:dyDescent="0.3">
      <c r="A39" s="26"/>
      <c r="B39" s="26"/>
      <c r="C39" s="26"/>
      <c r="D39" s="26"/>
      <c r="E39" s="26"/>
      <c r="F39" s="26"/>
      <c r="G39" s="26"/>
      <c r="H39" s="26"/>
      <c r="I39" s="26"/>
      <c r="J39" s="26"/>
      <c r="K39" s="26"/>
      <c r="L39" s="26"/>
      <c r="M39" s="26"/>
      <c r="N39" s="26"/>
      <c r="O39" s="26"/>
      <c r="P39" s="36" t="str">
        <f>Pivots!F91</f>
        <v>C0014</v>
      </c>
      <c r="Q39" s="35" cm="1">
        <f t="array" ref="Q39:U39">Pivots!G90:K90</f>
        <v>1415</v>
      </c>
      <c r="R39" s="35">
        <v>1271</v>
      </c>
      <c r="S39" s="35">
        <v>1214</v>
      </c>
      <c r="T39" s="35">
        <v>1135</v>
      </c>
      <c r="U39" s="35">
        <v>1566</v>
      </c>
      <c r="V39" s="33" t="s">
        <v>1077</v>
      </c>
      <c r="W39" s="26"/>
      <c r="X39" s="26"/>
      <c r="Y39" s="26"/>
      <c r="Z39" s="26"/>
      <c r="AA39" s="26"/>
    </row>
    <row r="40" spans="1:31"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row>
    <row r="41" spans="1:31"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row>
    <row r="42" spans="1:31"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row>
    <row r="43" spans="1:31"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row>
    <row r="44" spans="1:31"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row>
  </sheetData>
  <conditionalFormatting sqref="Q22:U39">
    <cfRule type="dataBar" priority="1">
      <dataBar>
        <cfvo type="min"/>
        <cfvo type="max"/>
        <color rgb="FF638EC6"/>
      </dataBar>
      <extLst>
        <ext xmlns:x14="http://schemas.microsoft.com/office/spreadsheetml/2009/9/main" uri="{B025F937-C7B1-47D3-B67F-A62EFF666E3E}">
          <x14:id>{C1030E40-1F19-4BEB-B2A8-B3F2F4B23AB1}</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1030E40-1F19-4BEB-B2A8-B3F2F4B23AB1}">
            <x14:dataBar minLength="0" maxLength="100" gradient="0">
              <x14:cfvo type="autoMin"/>
              <x14:cfvo type="autoMax"/>
              <x14:negativeFillColor rgb="FFFF0000"/>
              <x14:axisColor rgb="FF000000"/>
            </x14:dataBar>
          </x14:cfRule>
          <xm:sqref>Q22:U39</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01" zoomScaleNormal="115" workbookViewId="0">
      <selection activeCell="H7" sqref="H7"/>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F3" sqref="F3"/>
    </sheetView>
  </sheetViews>
  <sheetFormatPr defaultRowHeight="14.4" x14ac:dyDescent="0.3"/>
  <cols>
    <col min="5" max="5" width="10.8984375" customWidth="1"/>
    <col min="6" max="6" width="10.699218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Customer Report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Arvind Sai</cp:lastModifiedBy>
  <dcterms:created xsi:type="dcterms:W3CDTF">2021-03-14T20:21:32Z</dcterms:created>
  <dcterms:modified xsi:type="dcterms:W3CDTF">2026-04-07T14:43:14Z</dcterms:modified>
</cp:coreProperties>
</file>